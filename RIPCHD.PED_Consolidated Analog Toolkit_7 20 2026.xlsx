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api.box.com/wopi/files/2358378097738/WOPIServiceId_TP_BOX_2/WOPIUserId_-/"/>
    </mc:Choice>
  </mc:AlternateContent>
  <xr:revisionPtr revIDLastSave="23" documentId="8_{347C574B-2EA6-4A76-AED2-55855091E9A1}" xr6:coauthVersionLast="47" xr6:coauthVersionMax="47" xr10:uidLastSave="{BE2F5FC4-E5B5-4C2F-86F6-5AAC0581ED56}"/>
  <bookViews>
    <workbookView xWindow="-120" yWindow="-120" windowWidth="29040" windowHeight="15720" firstSheet="3" activeTab="5" xr2:uid="{1921DA0E-4ED4-46D5-831F-4645929A2C9A}"/>
  </bookViews>
  <sheets>
    <sheet name="Pre-planning &amp; Programming" sheetId="1" r:id="rId1"/>
    <sheet name="Outcome Priotization" sheetId="5" r:id="rId2"/>
    <sheet name="Policy &amp; Process-based Design" sheetId="3" r:id="rId3"/>
    <sheet name="Guideline Prioritization" sheetId="4" r:id="rId4"/>
    <sheet name="Design alignement tool" sheetId="10" r:id="rId5"/>
    <sheet name="DAT Report" sheetId="13" r:id="rId6"/>
    <sheet name="Response Options" sheetId="2" r:id="rId7"/>
  </sheets>
  <definedNames>
    <definedName name="_xlnm._FilterDatabase" localSheetId="4" hidden="1">'Design alignement tool'!$A$3:$AQ$108</definedName>
    <definedName name="_xlnm._FilterDatabase" localSheetId="2" hidden="1">'Policy &amp; Process-based Design'!$A$6:$AT$114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F11" i="13" l="1"/>
  <c r="F12" i="13"/>
  <c r="F13" i="13"/>
  <c r="F14" i="13"/>
  <c r="F15" i="13"/>
  <c r="F16" i="13"/>
  <c r="F17" i="13"/>
  <c r="F18" i="13"/>
  <c r="F19" i="13"/>
  <c r="F20" i="13"/>
  <c r="F21" i="13"/>
  <c r="H21" i="13"/>
  <c r="H20" i="13"/>
  <c r="H19" i="13"/>
  <c r="H18" i="13"/>
  <c r="H17" i="13"/>
  <c r="H16" i="13"/>
  <c r="H15" i="13"/>
  <c r="H14" i="13"/>
  <c r="H13" i="13"/>
  <c r="H12" i="13"/>
  <c r="H11" i="13"/>
  <c r="I11" i="13"/>
  <c r="G21" i="13"/>
  <c r="G20" i="13"/>
  <c r="G19" i="13"/>
  <c r="G18" i="13"/>
  <c r="G17" i="13"/>
  <c r="G16" i="13"/>
  <c r="G15" i="13"/>
  <c r="G14" i="13"/>
  <c r="G13" i="13"/>
  <c r="G12" i="13"/>
  <c r="G11" i="13"/>
  <c r="B4" i="10" l="1"/>
  <c r="J21" i="13"/>
  <c r="I21" i="13"/>
  <c r="J20" i="13"/>
  <c r="I20" i="13"/>
  <c r="J19" i="13"/>
  <c r="I19" i="13"/>
  <c r="J18" i="13"/>
  <c r="I18" i="13"/>
  <c r="J17" i="13"/>
  <c r="I17" i="13"/>
  <c r="J16" i="13"/>
  <c r="I16" i="13"/>
  <c r="J15" i="13"/>
  <c r="I15" i="13"/>
  <c r="J14" i="13"/>
  <c r="I14" i="13"/>
  <c r="J13" i="13"/>
  <c r="J12" i="13"/>
  <c r="I13" i="13"/>
  <c r="I12" i="13"/>
  <c r="J11" i="13"/>
  <c r="E12" i="13" l="1"/>
  <c r="K12" i="13" s="1"/>
  <c r="E13" i="13"/>
  <c r="K13" i="13" s="1"/>
  <c r="E14" i="13"/>
  <c r="K14" i="13" s="1"/>
  <c r="E15" i="13"/>
  <c r="K15" i="13" s="1"/>
  <c r="E16" i="13"/>
  <c r="K16" i="13" s="1"/>
  <c r="E17" i="13"/>
  <c r="K17" i="13" s="1"/>
  <c r="E18" i="13"/>
  <c r="K18" i="13" s="1"/>
  <c r="E19" i="13"/>
  <c r="K19" i="13" s="1"/>
  <c r="E20" i="13"/>
  <c r="K20" i="13" s="1"/>
  <c r="E21" i="13"/>
  <c r="K21" i="13" s="1"/>
  <c r="E22" i="13"/>
  <c r="F22" i="13" s="1"/>
  <c r="E23" i="13"/>
  <c r="F23" i="13" s="1"/>
  <c r="E11" i="13"/>
  <c r="K11" i="13" s="1"/>
  <c r="N21" i="4"/>
  <c r="B104" i="10"/>
  <c r="B97" i="10"/>
  <c r="B93" i="10"/>
  <c r="B76" i="10"/>
  <c r="B68" i="10"/>
  <c r="B58" i="10"/>
  <c r="L12" i="13" l="1"/>
  <c r="L11" i="13"/>
  <c r="L18" i="13"/>
  <c r="L16" i="13"/>
  <c r="M16" i="13" s="1"/>
  <c r="L19" i="13"/>
  <c r="M19" i="13" s="1"/>
  <c r="L14" i="13"/>
  <c r="L17" i="13"/>
  <c r="L15" i="13"/>
  <c r="M15" i="13" s="1"/>
  <c r="L20" i="13"/>
  <c r="L13" i="13"/>
  <c r="L21" i="13"/>
  <c r="K22" i="13"/>
  <c r="K23" i="13"/>
  <c r="M18" i="13"/>
  <c r="J17" i="5" a="1"/>
  <c r="J17" i="5" s="1"/>
  <c r="J16" i="5" a="1"/>
  <c r="J16" i="5" s="1"/>
  <c r="J15" i="5" a="1"/>
  <c r="J15" i="5" s="1"/>
  <c r="J14" i="5" a="1"/>
  <c r="J14" i="5" s="1"/>
  <c r="J13" i="5" a="1"/>
  <c r="J13" i="5" s="1"/>
  <c r="J12" i="5" a="1"/>
  <c r="J12" i="5" s="1"/>
  <c r="B52" i="10"/>
  <c r="B27" i="10"/>
  <c r="N9" i="3"/>
  <c r="B22" i="10"/>
  <c r="B10" i="10"/>
  <c r="M12" i="13" l="1"/>
  <c r="M14" i="13"/>
  <c r="M20" i="13"/>
  <c r="M11" i="13"/>
  <c r="M13" i="13"/>
  <c r="M17" i="13"/>
  <c r="M21" i="13"/>
  <c r="AR113" i="3"/>
  <c r="AR108" i="3"/>
  <c r="AR99" i="3"/>
  <c r="AR95" i="3"/>
  <c r="AR93" i="3"/>
  <c r="AR88" i="3"/>
  <c r="AR81" i="3"/>
  <c r="AR78" i="3"/>
  <c r="AR30" i="3"/>
  <c r="AR23" i="3"/>
  <c r="AQ113" i="3"/>
  <c r="AQ104" i="3"/>
  <c r="AQ99" i="3"/>
  <c r="AQ95" i="3"/>
  <c r="AQ93" i="3"/>
  <c r="AQ90" i="3"/>
  <c r="AQ89" i="3"/>
  <c r="AQ88" i="3"/>
  <c r="AQ78" i="3"/>
  <c r="AQ62" i="3"/>
  <c r="AQ54" i="3"/>
  <c r="AQ51" i="3"/>
  <c r="AQ47" i="3"/>
  <c r="AQ45" i="3"/>
  <c r="AQ43" i="3"/>
  <c r="AQ41" i="3"/>
  <c r="AQ38" i="3"/>
  <c r="AQ37" i="3"/>
  <c r="AQ36" i="3"/>
  <c r="AQ30" i="3"/>
  <c r="AQ28" i="3"/>
  <c r="AQ23" i="3"/>
  <c r="AQ19" i="3"/>
  <c r="AP104" i="3"/>
  <c r="AP95" i="3"/>
  <c r="AP93" i="3"/>
  <c r="AP88" i="3"/>
  <c r="AP81" i="3"/>
  <c r="AP38" i="3"/>
  <c r="AP37" i="3"/>
  <c r="AP36" i="3"/>
  <c r="AP30" i="3"/>
  <c r="AP28" i="3"/>
  <c r="AP23" i="3"/>
  <c r="AP13" i="3"/>
  <c r="AP12" i="3"/>
  <c r="AO93" i="3"/>
  <c r="AO90" i="3"/>
  <c r="AO88" i="3"/>
  <c r="AO78" i="3"/>
  <c r="AO62" i="3"/>
  <c r="AO47" i="3"/>
  <c r="AO38" i="3"/>
  <c r="AO37" i="3"/>
  <c r="AO36" i="3"/>
  <c r="AO30" i="3"/>
  <c r="AO23" i="3"/>
  <c r="AO13" i="3"/>
  <c r="AN90" i="3"/>
  <c r="AN89" i="3"/>
  <c r="AN72" i="3"/>
  <c r="AN65" i="3"/>
  <c r="AN62" i="3"/>
  <c r="AN58" i="3"/>
  <c r="AN54" i="3"/>
  <c r="AN51" i="3"/>
  <c r="AN30" i="3"/>
  <c r="AN23" i="3"/>
  <c r="AN19" i="3"/>
  <c r="AM113" i="3"/>
  <c r="AM104" i="3"/>
  <c r="AM99" i="3"/>
  <c r="AM93" i="3"/>
  <c r="AM89" i="3"/>
  <c r="AM88" i="3"/>
  <c r="AM85" i="3"/>
  <c r="AM81" i="3"/>
  <c r="AM78" i="3"/>
  <c r="AM75" i="3"/>
  <c r="AM72" i="3"/>
  <c r="AM65" i="3"/>
  <c r="AM62" i="3"/>
  <c r="AM54" i="3"/>
  <c r="AM51" i="3"/>
  <c r="AM47" i="3"/>
  <c r="AM45" i="3"/>
  <c r="AM43" i="3"/>
  <c r="AL89" i="3"/>
  <c r="AL88" i="3"/>
  <c r="AL85" i="3"/>
  <c r="AL75" i="3"/>
  <c r="AL72" i="3"/>
  <c r="AL65" i="3"/>
  <c r="AL62" i="3"/>
  <c r="AL54" i="3"/>
  <c r="AL51" i="3"/>
  <c r="AL43" i="3"/>
  <c r="AK110" i="3"/>
  <c r="AK108" i="3"/>
  <c r="AK106" i="3"/>
  <c r="AK72" i="3"/>
  <c r="AK68" i="3"/>
  <c r="AK58" i="3"/>
  <c r="AK28" i="3"/>
  <c r="AJ90" i="3"/>
  <c r="AJ88" i="3"/>
  <c r="AJ54" i="3"/>
  <c r="AJ36" i="3"/>
  <c r="AJ30" i="3"/>
  <c r="AJ13" i="3"/>
  <c r="AJ12" i="3"/>
  <c r="AI113" i="3"/>
  <c r="AI104" i="3"/>
  <c r="AI99" i="3"/>
  <c r="AI95" i="3"/>
  <c r="AI93" i="3"/>
  <c r="AI89" i="3"/>
  <c r="AI88" i="3"/>
  <c r="AI81" i="3"/>
  <c r="AI65" i="3"/>
  <c r="AI62" i="3"/>
  <c r="AI54" i="3"/>
  <c r="AI47" i="3"/>
  <c r="AI45" i="3"/>
  <c r="AI43" i="3"/>
  <c r="AI38" i="3"/>
  <c r="AI37" i="3"/>
  <c r="AI36" i="3"/>
  <c r="AI30" i="3"/>
  <c r="AI28" i="3"/>
  <c r="AI23" i="3"/>
  <c r="AI19" i="3"/>
  <c r="AI13" i="3"/>
  <c r="AI12" i="3"/>
  <c r="AH99" i="3"/>
  <c r="AH95" i="3"/>
  <c r="AH93" i="3"/>
  <c r="AH89" i="3"/>
  <c r="AH88" i="3"/>
  <c r="AH85" i="3"/>
  <c r="AH81" i="3"/>
  <c r="AH78" i="3"/>
  <c r="AH54" i="3"/>
  <c r="AH47" i="3"/>
  <c r="AH45" i="3"/>
  <c r="AH41" i="3"/>
  <c r="AH38" i="3"/>
  <c r="AH37" i="3"/>
  <c r="AH36" i="3"/>
  <c r="AG38" i="3"/>
  <c r="AG37" i="3"/>
  <c r="AG36" i="3"/>
  <c r="AG30" i="3"/>
  <c r="AH30" i="3"/>
  <c r="AH23" i="3"/>
  <c r="AH13" i="3"/>
  <c r="AG99" i="3"/>
  <c r="AG95" i="3"/>
  <c r="AG93" i="3"/>
  <c r="AG89" i="3"/>
  <c r="AG88" i="3"/>
  <c r="AG85" i="3"/>
  <c r="AG81" i="3"/>
  <c r="AG78" i="3"/>
  <c r="AG75" i="3"/>
  <c r="AG72" i="3"/>
  <c r="AG65" i="3"/>
  <c r="AG62" i="3"/>
  <c r="AG54" i="3"/>
  <c r="AG47" i="3"/>
  <c r="AG45" i="3"/>
  <c r="AG43" i="3"/>
  <c r="AF89" i="3"/>
  <c r="AF88" i="3"/>
  <c r="AF85" i="3"/>
  <c r="AF75" i="3"/>
  <c r="AF72" i="3"/>
  <c r="AF68" i="3"/>
  <c r="AF54" i="3"/>
  <c r="AF43" i="3"/>
  <c r="AE68" i="3"/>
  <c r="AE58" i="3"/>
  <c r="AE51" i="3"/>
  <c r="AD113" i="3"/>
  <c r="AD108" i="3"/>
  <c r="AD75" i="3"/>
  <c r="AD72" i="3"/>
  <c r="AD68" i="3"/>
  <c r="AD65" i="3"/>
  <c r="AD62" i="3"/>
  <c r="AD58" i="3"/>
  <c r="AD54" i="3"/>
  <c r="AD51" i="3"/>
  <c r="AC106" i="3"/>
  <c r="AC75" i="3"/>
  <c r="AC51" i="3"/>
  <c r="AC47" i="3"/>
  <c r="AC23" i="3"/>
  <c r="AC19" i="3"/>
  <c r="AB113" i="3"/>
  <c r="AB108" i="3"/>
  <c r="AB106" i="3"/>
  <c r="AB68" i="3"/>
  <c r="AB65" i="3"/>
  <c r="AB62" i="3"/>
  <c r="AB58" i="3"/>
  <c r="AB54" i="3"/>
  <c r="AB51" i="3"/>
  <c r="AB36" i="3"/>
  <c r="AA104" i="3"/>
  <c r="AA99" i="3"/>
  <c r="AA95" i="3"/>
  <c r="AA93" i="3"/>
  <c r="AA90" i="3"/>
  <c r="AA89" i="3"/>
  <c r="AA88" i="3"/>
  <c r="AA78" i="3"/>
  <c r="AA68" i="3"/>
  <c r="AA65" i="3"/>
  <c r="AA62" i="3"/>
  <c r="AA58" i="3"/>
  <c r="AA54" i="3"/>
  <c r="AA51" i="3"/>
  <c r="AA47" i="3"/>
  <c r="AA43" i="3"/>
  <c r="AA41" i="3"/>
  <c r="AA38" i="3"/>
  <c r="AA37" i="3"/>
  <c r="AA36" i="3"/>
  <c r="AA35" i="3"/>
  <c r="AA30" i="3"/>
  <c r="AA28" i="3"/>
  <c r="AA23" i="3"/>
  <c r="AA19" i="3"/>
  <c r="AA13" i="3"/>
  <c r="AA12" i="3"/>
  <c r="Z113" i="3"/>
  <c r="Z90" i="3"/>
  <c r="Z88" i="3"/>
  <c r="Z68" i="3"/>
  <c r="Z65" i="3"/>
  <c r="Z62" i="3"/>
  <c r="Z58" i="3"/>
  <c r="Z54" i="3"/>
  <c r="Z51" i="3"/>
  <c r="Z45" i="3"/>
  <c r="Z43" i="3"/>
  <c r="Z36" i="3"/>
  <c r="Z30" i="3"/>
  <c r="Z28" i="3"/>
  <c r="Z13" i="3"/>
  <c r="Z12" i="3"/>
  <c r="Y99" i="3"/>
  <c r="Y68" i="3"/>
  <c r="Y62" i="3"/>
  <c r="Y54" i="3"/>
  <c r="Y51" i="3"/>
  <c r="Y47" i="3"/>
  <c r="Y41" i="3"/>
  <c r="Y38" i="3"/>
  <c r="Y37" i="3"/>
  <c r="Y35" i="3"/>
  <c r="Y28" i="3"/>
  <c r="Y23" i="3"/>
  <c r="Y19" i="3"/>
  <c r="Y13" i="3"/>
  <c r="Y12" i="3"/>
  <c r="X90" i="3"/>
  <c r="X88" i="3"/>
  <c r="X68" i="3"/>
  <c r="X65" i="3"/>
  <c r="X62" i="3"/>
  <c r="X54" i="3"/>
  <c r="X51" i="3"/>
  <c r="X36" i="3"/>
  <c r="X30" i="3"/>
  <c r="X28" i="3"/>
  <c r="X19" i="3"/>
  <c r="X13" i="3"/>
  <c r="X12" i="3"/>
  <c r="W113" i="3"/>
  <c r="W110" i="3"/>
  <c r="W108" i="3"/>
  <c r="W106" i="3"/>
  <c r="W104" i="3"/>
  <c r="W99" i="3"/>
  <c r="W90" i="3"/>
  <c r="W88" i="3"/>
  <c r="W78" i="3"/>
  <c r="W75" i="3"/>
  <c r="W68" i="3"/>
  <c r="W65" i="3"/>
  <c r="W62" i="3"/>
  <c r="W58" i="3"/>
  <c r="W54" i="3"/>
  <c r="W51" i="3"/>
  <c r="W47" i="3"/>
  <c r="W45" i="3"/>
  <c r="W43" i="3"/>
  <c r="W41" i="3"/>
  <c r="W38" i="3"/>
  <c r="W37" i="3"/>
  <c r="W36" i="3"/>
  <c r="W35" i="3"/>
  <c r="W30" i="3"/>
  <c r="W28" i="3"/>
  <c r="W23" i="3"/>
  <c r="V106" i="3"/>
  <c r="V88" i="3"/>
  <c r="V78" i="3"/>
  <c r="V65" i="3"/>
  <c r="V62" i="3"/>
  <c r="V47" i="3"/>
  <c r="V36" i="3"/>
  <c r="V35" i="3"/>
  <c r="V30" i="3"/>
  <c r="V23" i="3"/>
  <c r="U113" i="3"/>
  <c r="U106" i="3"/>
  <c r="U104" i="3"/>
  <c r="U95" i="3"/>
  <c r="U93" i="3"/>
  <c r="U90" i="3"/>
  <c r="U89" i="3"/>
  <c r="U88" i="3"/>
  <c r="U81" i="3"/>
  <c r="U78" i="3"/>
  <c r="U65" i="3"/>
  <c r="U47" i="3"/>
  <c r="U38" i="3"/>
  <c r="U37" i="3"/>
  <c r="U36" i="3"/>
  <c r="U30" i="3"/>
  <c r="U28" i="3"/>
  <c r="U23" i="3"/>
  <c r="U19" i="3"/>
  <c r="U13" i="3"/>
  <c r="U12" i="3"/>
  <c r="T113" i="3"/>
  <c r="T106" i="3"/>
  <c r="T99" i="3"/>
  <c r="T95" i="3"/>
  <c r="T93" i="3"/>
  <c r="T90" i="3"/>
  <c r="T81" i="3"/>
  <c r="T65" i="3"/>
  <c r="T62" i="3"/>
  <c r="T47" i="3"/>
  <c r="S113" i="3"/>
  <c r="S106" i="3"/>
  <c r="S104" i="3"/>
  <c r="S99" i="3"/>
  <c r="S95" i="3"/>
  <c r="S93" i="3"/>
  <c r="S90" i="3"/>
  <c r="S88" i="3"/>
  <c r="S81" i="3"/>
  <c r="S78" i="3"/>
  <c r="S65" i="3"/>
  <c r="S47" i="3"/>
  <c r="S41" i="3"/>
  <c r="S38" i="3"/>
  <c r="S37" i="3"/>
  <c r="S36" i="3"/>
  <c r="S35" i="3"/>
  <c r="S30" i="3"/>
  <c r="S28" i="3"/>
  <c r="S23" i="3"/>
  <c r="S19" i="3"/>
  <c r="S12" i="3"/>
  <c r="R113" i="3"/>
  <c r="R108" i="3"/>
  <c r="R106" i="3"/>
  <c r="R99" i="3"/>
  <c r="R93" i="3"/>
  <c r="R90" i="3"/>
  <c r="R88" i="3"/>
  <c r="R75" i="3"/>
  <c r="R65" i="3"/>
  <c r="R47" i="3"/>
  <c r="R36" i="3"/>
  <c r="R35" i="3"/>
  <c r="R30" i="3"/>
  <c r="R23" i="3"/>
  <c r="R19" i="3"/>
  <c r="R12" i="3"/>
  <c r="Q113" i="3"/>
  <c r="Q108" i="3"/>
  <c r="Q106" i="3"/>
  <c r="Q99" i="3"/>
  <c r="Q95" i="3"/>
  <c r="Q93" i="3"/>
  <c r="Q88" i="3"/>
  <c r="Q78" i="3"/>
  <c r="Q72" i="3"/>
  <c r="Q65" i="3"/>
  <c r="Q62" i="3"/>
  <c r="Q47" i="3"/>
  <c r="Q45" i="3"/>
  <c r="Q43" i="3"/>
  <c r="Q41" i="3"/>
  <c r="Q38" i="3"/>
  <c r="Q37" i="3"/>
  <c r="Q36" i="3"/>
  <c r="Q35" i="3"/>
  <c r="Q30" i="3"/>
  <c r="Q28" i="3"/>
  <c r="Q23" i="3"/>
  <c r="Q13" i="3"/>
  <c r="Q12" i="3"/>
  <c r="P113" i="3"/>
  <c r="P108" i="3"/>
  <c r="P99" i="3"/>
  <c r="P93" i="3"/>
  <c r="P90" i="3"/>
  <c r="P88" i="3"/>
  <c r="P78" i="3"/>
  <c r="P75" i="3"/>
  <c r="P65" i="3"/>
  <c r="P47" i="3"/>
  <c r="P36" i="3"/>
  <c r="P35" i="3"/>
  <c r="P30" i="3"/>
  <c r="P23" i="3"/>
  <c r="P19" i="3"/>
  <c r="P12" i="3"/>
  <c r="O113" i="3"/>
  <c r="O99" i="3"/>
  <c r="O95" i="3"/>
  <c r="O90" i="3"/>
  <c r="O93" i="3"/>
  <c r="O88" i="3"/>
  <c r="O81" i="3"/>
  <c r="O78" i="3"/>
  <c r="O47" i="3"/>
  <c r="O36" i="3"/>
  <c r="O35" i="3"/>
  <c r="O30" i="3"/>
  <c r="O23" i="3"/>
  <c r="O19" i="3"/>
  <c r="O13" i="3"/>
  <c r="N113" i="3"/>
  <c r="N104" i="3"/>
  <c r="N99" i="3"/>
  <c r="N95" i="3"/>
  <c r="N93" i="3"/>
  <c r="N88" i="3"/>
  <c r="N81" i="3"/>
  <c r="N78" i="3"/>
  <c r="N62" i="3"/>
  <c r="N47" i="3"/>
  <c r="N41" i="3"/>
  <c r="N30" i="3"/>
  <c r="N28" i="3"/>
  <c r="N23" i="3"/>
  <c r="N19" i="3"/>
  <c r="O12" i="3"/>
  <c r="N13" i="3"/>
  <c r="N12" i="3"/>
  <c r="S9" i="3"/>
  <c r="Q9" i="3"/>
  <c r="B7" i="1"/>
  <c r="B8" i="1" s="1"/>
  <c r="B9" i="1" s="1"/>
  <c r="B10" i="1" s="1"/>
  <c r="B11" i="1" s="1"/>
  <c r="B12" i="1" s="1"/>
  <c r="B13" i="1" s="1"/>
  <c r="B14" i="1" s="1"/>
  <c r="B21" i="1" s="1"/>
  <c r="B50" i="1" s="1"/>
  <c r="B63" i="1" s="1"/>
  <c r="B76" i="1" s="1"/>
  <c r="B77" i="1" s="1"/>
  <c r="B82" i="1" s="1"/>
  <c r="B86" i="1" s="1"/>
  <c r="B87" i="1" s="1"/>
  <c r="B91" i="1" s="1"/>
  <c r="K41" i="3" l="1" a="1"/>
  <c r="K41" i="3" s="1"/>
  <c r="L41" i="3" s="1"/>
  <c r="M41" i="3" s="1"/>
  <c r="K62" i="3" a="1"/>
  <c r="K62" i="3" s="1"/>
  <c r="L62" i="3" s="1"/>
  <c r="M62" i="3" s="1"/>
  <c r="K35" i="3" a="1"/>
  <c r="K35" i="3" s="1"/>
  <c r="L35" i="3" s="1"/>
  <c r="M35" i="3" s="1"/>
  <c r="K75" i="3" a="1"/>
  <c r="K75" i="3" s="1"/>
  <c r="L75" i="3" s="1"/>
  <c r="M75" i="3" s="1"/>
  <c r="K30" i="3" a="1"/>
  <c r="K30" i="3" s="1"/>
  <c r="L30" i="3" s="1"/>
  <c r="M30" i="3" s="1"/>
  <c r="K28" i="3" a="1"/>
  <c r="K28" i="3" s="1"/>
  <c r="L28" i="3" s="1"/>
  <c r="M28" i="3" s="1"/>
  <c r="K9" i="3" a="1"/>
  <c r="K9" i="3" s="1"/>
  <c r="L9" i="3" s="1"/>
  <c r="M9" i="3" s="1"/>
  <c r="K36" i="3" a="1"/>
  <c r="K36" i="3" s="1"/>
  <c r="L36" i="3" s="1"/>
  <c r="M36" i="3" s="1"/>
  <c r="K72" i="3" a="1"/>
  <c r="K72" i="3" s="1"/>
  <c r="L72" i="3" s="1"/>
  <c r="M72" i="3" s="1"/>
  <c r="K110" i="3" a="1"/>
  <c r="K110" i="3" s="1"/>
  <c r="L110" i="3" s="1"/>
  <c r="M110" i="3" s="1"/>
  <c r="K13" i="3" a="1"/>
  <c r="K13" i="3" s="1"/>
  <c r="L13" i="3" s="1"/>
  <c r="M13" i="3" s="1"/>
  <c r="K47" i="3" a="1"/>
  <c r="K47" i="3" s="1"/>
  <c r="L47" i="3" s="1"/>
  <c r="M47" i="3" s="1"/>
  <c r="K90" i="3" a="1"/>
  <c r="K90" i="3" s="1"/>
  <c r="L90" i="3" s="1"/>
  <c r="M90" i="3" s="1"/>
  <c r="K78" i="3" a="1"/>
  <c r="K78" i="3" s="1"/>
  <c r="L78" i="3" s="1"/>
  <c r="M78" i="3" s="1"/>
  <c r="K81" i="3" a="1"/>
  <c r="K81" i="3" s="1"/>
  <c r="L81" i="3" s="1"/>
  <c r="M81" i="3" s="1"/>
  <c r="K19" i="3" a="1"/>
  <c r="K19" i="3" s="1"/>
  <c r="L19" i="3" s="1"/>
  <c r="M19" i="3" s="1"/>
  <c r="K54" i="3" a="1"/>
  <c r="K54" i="3" s="1"/>
  <c r="L54" i="3" s="1"/>
  <c r="M54" i="3" s="1"/>
  <c r="K88" i="3" a="1"/>
  <c r="K88" i="3" s="1"/>
  <c r="L88" i="3" s="1"/>
  <c r="M88" i="3" s="1"/>
  <c r="K38" i="3" a="1"/>
  <c r="K38" i="3" s="1"/>
  <c r="L38" i="3" s="1"/>
  <c r="M38" i="3" s="1"/>
  <c r="K85" i="3" a="1"/>
  <c r="K85" i="3" s="1"/>
  <c r="L85" i="3" s="1"/>
  <c r="M85" i="3" s="1"/>
  <c r="K37" i="3" a="1"/>
  <c r="K37" i="3" s="1"/>
  <c r="L37" i="3" s="1"/>
  <c r="M37" i="3" s="1"/>
  <c r="K58" i="3" a="1"/>
  <c r="K58" i="3" s="1"/>
  <c r="L58" i="3" s="1"/>
  <c r="M58" i="3" s="1"/>
  <c r="K108" i="3" a="1"/>
  <c r="K108" i="3" s="1"/>
  <c r="L108" i="3" s="1"/>
  <c r="M108" i="3" s="1"/>
  <c r="K23" i="3" a="1"/>
  <c r="K23" i="3" s="1"/>
  <c r="L23" i="3" s="1"/>
  <c r="M23" i="3" s="1"/>
  <c r="K95" i="3" a="1"/>
  <c r="K95" i="3" s="1"/>
  <c r="L95" i="3" s="1"/>
  <c r="M95" i="3" s="1"/>
  <c r="K68" i="3" a="1"/>
  <c r="K68" i="3" s="1"/>
  <c r="L68" i="3" s="1"/>
  <c r="M68" i="3" s="1"/>
  <c r="K51" i="3" a="1"/>
  <c r="K51" i="3" s="1"/>
  <c r="L51" i="3" s="1"/>
  <c r="M51" i="3" s="1"/>
  <c r="K99" i="3" a="1"/>
  <c r="K99" i="3" s="1"/>
  <c r="L99" i="3" s="1"/>
  <c r="M99" i="3" s="1"/>
  <c r="K93" i="3" a="1"/>
  <c r="K93" i="3" s="1"/>
  <c r="L93" i="3" s="1"/>
  <c r="M93" i="3" s="1"/>
  <c r="K89" i="3" a="1"/>
  <c r="K89" i="3" s="1"/>
  <c r="L89" i="3" s="1"/>
  <c r="M89" i="3" s="1"/>
  <c r="K43" i="3" a="1"/>
  <c r="K43" i="3" s="1"/>
  <c r="L43" i="3" s="1"/>
  <c r="M43" i="3" s="1"/>
  <c r="K106" i="3" a="1"/>
  <c r="K106" i="3" s="1"/>
  <c r="L106" i="3" s="1"/>
  <c r="M106" i="3" s="1"/>
  <c r="K104" i="3" a="1"/>
  <c r="K104" i="3" s="1"/>
  <c r="L104" i="3" s="1"/>
  <c r="M104" i="3" s="1"/>
  <c r="K65" i="3" a="1"/>
  <c r="K65" i="3" s="1"/>
  <c r="L65" i="3" s="1"/>
  <c r="M65" i="3" s="1"/>
  <c r="K45" i="3" a="1"/>
  <c r="K45" i="3" s="1"/>
  <c r="L45" i="3" s="1"/>
  <c r="M45" i="3" s="1"/>
  <c r="K113" i="3" a="1"/>
  <c r="K113" i="3" s="1"/>
  <c r="L113" i="3" s="1"/>
  <c r="M113" i="3" s="1"/>
  <c r="K12" i="3" a="1"/>
  <c r="K12" i="3" s="1"/>
  <c r="L12" i="3" s="1"/>
  <c r="M12" i="3" s="1"/>
  <c r="K12" i="5" a="1"/>
  <c r="K12" i="5" l="1"/>
  <c r="H13" i="4" s="1" a="1"/>
  <c r="H13" i="4" s="1"/>
  <c r="E26" i="4" l="1" a="1"/>
  <c r="E26" i="4" s="1"/>
  <c r="F13" i="4" a="1"/>
  <c r="F13" i="4" s="1"/>
  <c r="H15" i="4" a="1"/>
  <c r="H15" i="4" s="1"/>
  <c r="I22" i="4" a="1"/>
  <c r="I22" i="4" s="1"/>
  <c r="I24" i="4" a="1"/>
  <c r="I24" i="4" s="1"/>
  <c r="H21" i="4" a="1"/>
  <c r="H21" i="4" s="1"/>
  <c r="E14" i="4" a="1"/>
  <c r="E14" i="4" s="1"/>
  <c r="J21" i="4" a="1"/>
  <c r="J21" i="4" s="1"/>
  <c r="E15" i="4" a="1"/>
  <c r="E15" i="4" s="1"/>
  <c r="F26" i="4" a="1"/>
  <c r="F26" i="4" s="1"/>
  <c r="H18" i="4" a="1"/>
  <c r="H18" i="4" s="1"/>
  <c r="K18" i="4" s="1" a="1"/>
  <c r="K18" i="4" s="1"/>
  <c r="L18" i="4" s="1"/>
  <c r="E17" i="4" a="1"/>
  <c r="E17" i="4" s="1"/>
  <c r="H22" i="4" a="1"/>
  <c r="H22" i="4" s="1"/>
  <c r="E22" i="4" a="1"/>
  <c r="E22" i="4" s="1"/>
  <c r="H25" i="4" a="1"/>
  <c r="H25" i="4" s="1"/>
  <c r="G20" i="4" a="1"/>
  <c r="G20" i="4" s="1"/>
  <c r="J24" i="4" a="1"/>
  <c r="J24" i="4" s="1"/>
  <c r="G15" i="4" a="1"/>
  <c r="G15" i="4" s="1"/>
  <c r="E16" i="4" a="1"/>
  <c r="E16" i="4" s="1"/>
  <c r="K16" i="4" s="1" a="1"/>
  <c r="K16" i="4" s="1"/>
  <c r="L16" i="4" s="1"/>
  <c r="F15" i="4" a="1"/>
  <c r="F15" i="4" s="1"/>
  <c r="H23" i="4" a="1"/>
  <c r="H23" i="4" s="1"/>
  <c r="H19" i="4" a="1"/>
  <c r="H19" i="4" s="1"/>
  <c r="H26" i="4" a="1"/>
  <c r="H26" i="4" s="1"/>
  <c r="J22" i="4" a="1"/>
  <c r="J22" i="4" s="1"/>
  <c r="G22" i="4" a="1"/>
  <c r="G22" i="4" s="1"/>
  <c r="I25" i="4" a="1"/>
  <c r="I25" i="4" s="1"/>
  <c r="G19" i="4" a="1"/>
  <c r="G19" i="4" s="1"/>
  <c r="J25" i="4" a="1"/>
  <c r="J25" i="4" s="1"/>
  <c r="F17" i="4" a="1"/>
  <c r="F17" i="4" s="1"/>
  <c r="H24" i="4" a="1"/>
  <c r="H24" i="4" s="1"/>
  <c r="I20" i="4" a="1"/>
  <c r="I20" i="4" s="1"/>
  <c r="H20" i="4" a="1"/>
  <c r="H20" i="4" s="1"/>
  <c r="J23" i="4" a="1"/>
  <c r="J23" i="4" s="1"/>
  <c r="E12" i="4" a="1"/>
  <c r="E12" i="4" s="1"/>
  <c r="K12" i="4" s="1" a="1"/>
  <c r="K12" i="4" s="1"/>
  <c r="L12" i="4" s="1"/>
  <c r="H14" i="4" a="1"/>
  <c r="H14" i="4" s="1"/>
  <c r="I26" i="4" a="1"/>
  <c r="I26" i="4" s="1"/>
  <c r="E13" i="4" a="1"/>
  <c r="E13" i="4" s="1"/>
  <c r="I21" i="4" a="1"/>
  <c r="I21" i="4" s="1"/>
  <c r="F19" i="4" a="1"/>
  <c r="F19" i="4" s="1"/>
  <c r="K13" i="4" l="1" a="1"/>
  <c r="K13" i="4" s="1"/>
  <c r="L13" i="4" s="1"/>
  <c r="M13" i="4" s="1"/>
  <c r="N13" i="4" s="1"/>
  <c r="K17" i="4" a="1"/>
  <c r="K17" i="4" s="1"/>
  <c r="L17" i="4" s="1"/>
  <c r="M17" i="4" s="1"/>
  <c r="N17" i="4" s="1"/>
  <c r="M12" i="4"/>
  <c r="N12" i="4" s="1"/>
  <c r="M18" i="4"/>
  <c r="N18" i="4" s="1"/>
  <c r="M16" i="4"/>
  <c r="N16" i="4" s="1"/>
  <c r="K24" i="4" a="1"/>
  <c r="K24" i="4" s="1"/>
  <c r="L24" i="4" s="1"/>
  <c r="K26" i="4" a="1"/>
  <c r="K26" i="4" s="1"/>
  <c r="L26" i="4" s="1"/>
  <c r="K19" i="4" a="1"/>
  <c r="K19" i="4" s="1"/>
  <c r="L19" i="4" s="1"/>
  <c r="K23" i="4" a="1"/>
  <c r="K23" i="4" s="1"/>
  <c r="L23" i="4" s="1"/>
  <c r="K14" i="4" a="1"/>
  <c r="K14" i="4" s="1"/>
  <c r="L14" i="4" s="1"/>
  <c r="K20" i="4" a="1"/>
  <c r="K20" i="4" s="1"/>
  <c r="L20" i="4" s="1"/>
  <c r="K25" i="4" a="1"/>
  <c r="K25" i="4" s="1"/>
  <c r="L25" i="4" s="1"/>
  <c r="K21" i="4" a="1"/>
  <c r="K21" i="4" s="1"/>
  <c r="L21" i="4" s="1"/>
  <c r="M21" i="4" s="1"/>
  <c r="K22" i="4" a="1"/>
  <c r="K22" i="4" s="1"/>
  <c r="L22" i="4" s="1"/>
  <c r="K15" i="4" a="1"/>
  <c r="K15" i="4" s="1"/>
  <c r="L15" i="4" s="1"/>
  <c r="M20" i="4" l="1"/>
  <c r="N20" i="4" s="1"/>
  <c r="M22" i="4"/>
  <c r="N22" i="4" s="1"/>
  <c r="M23" i="4"/>
  <c r="N23" i="4" s="1"/>
  <c r="M24" i="4"/>
  <c r="N24" i="4" s="1"/>
  <c r="M25" i="4"/>
  <c r="N25" i="4" s="1"/>
  <c r="M19" i="4"/>
  <c r="N19" i="4" s="1"/>
  <c r="M15" i="4"/>
  <c r="N15" i="4" s="1"/>
  <c r="M14" i="4"/>
  <c r="N14" i="4" s="1"/>
  <c r="M26" i="4"/>
  <c r="N26" i="4"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<sst xmlns="http://schemas.openxmlformats.org/spreadsheetml/2006/main" count="1664" uniqueCount="514">
  <si>
    <t>PRE-PLANNING/PROGRAMMING TOOL</t>
  </si>
  <si>
    <t>Pre-Planning/Programming Worksheet</t>
  </si>
  <si>
    <t>The items listed in below will help the team determine whether and to what extent MBH friendly design considerations should be incorporated in the proposed project</t>
  </si>
  <si>
    <t>Consideration</t>
  </si>
  <si>
    <t>Response (Select one from the drop down list)</t>
  </si>
  <si>
    <t>Response (Open-ended)</t>
  </si>
  <si>
    <t>What is the strategic vision for the hospital/health system?</t>
  </si>
  <si>
    <t>What are the main drivers/motivators for the ED redesign (for renovation)/ design (new construction) project?</t>
  </si>
  <si>
    <t>Is this project a renovation or new construction?</t>
  </si>
  <si>
    <t>Does the ED serve pediatric patients, adult patients, or both?</t>
  </si>
  <si>
    <t>What is the anticipated total annual patient volume for this ED?</t>
  </si>
  <si>
    <t>What is the anticipated total annual mental and behavioral health patient volume for this ED?</t>
  </si>
  <si>
    <t>Will the ED serve any prisoners/penitentiary patients?</t>
  </si>
  <si>
    <t>What is the anticipated  proportion of uninsured patients in the ED?</t>
  </si>
  <si>
    <t xml:space="preserve"> Approximately what percentage of patients that will be seen in this ED (for all visit reasons) are:</t>
  </si>
  <si>
    <t>a. Children under age 5</t>
  </si>
  <si>
    <t>b. Children aged 5-12</t>
  </si>
  <si>
    <t>c. Adolescents aged 13-18</t>
  </si>
  <si>
    <t>d. Young Adults aged 18-24</t>
  </si>
  <si>
    <t>e. Adults aged 25-65</t>
  </si>
  <si>
    <t>f. Adults over age 65</t>
  </si>
  <si>
    <t>Based on the ED's annual patient data (last 5 years), please share the annual patient volumes for each these categories.</t>
  </si>
  <si>
    <t>i. Suicidal Behavior &amp; Risk</t>
  </si>
  <si>
    <t>ii. Aggressive Behaviors</t>
  </si>
  <si>
    <t>iii. Neurocognitive Disorders</t>
  </si>
  <si>
    <t>iv. Substance Use and Addictive Disorder</t>
  </si>
  <si>
    <t>Based on the ED's annual patient data (last 5 years), please share the weekly patient volumes for each these categories.</t>
  </si>
  <si>
    <t>i. MBH Conditions</t>
  </si>
  <si>
    <t>a. Children aged 0-12</t>
  </si>
  <si>
    <t>b. Adolescents aged 13-18</t>
  </si>
  <si>
    <t>c. Adults aged over 18</t>
  </si>
  <si>
    <t>ii. Medical Conditions</t>
  </si>
  <si>
    <t>iii. Both Medical &amp; MBH Conditions</t>
  </si>
  <si>
    <t>Do you anticipate any seasonal variations in the weekly patient volumes? If yes, please share your anticipated weekly patient volumes during peak season.</t>
  </si>
  <si>
    <t>Based on the ED's annual patient data (last 5 years), what is the typical length of stay for MBH patients in the ED?</t>
  </si>
  <si>
    <t>Do you anticipate implementing any of the following care models:</t>
  </si>
  <si>
    <t>a. Separate EmPATH/crisis unit</t>
  </si>
  <si>
    <t>b.  Dedicated Mental/Behavioral Health unit for adult/pediatric patients</t>
  </si>
  <si>
    <t>c. Separate care pathway for pediatric Mental/Behavioral Health patients</t>
  </si>
  <si>
    <t>d. Boarding pediatric MBH patients in in-patient rooms on medical floors</t>
  </si>
  <si>
    <t>What are the discharge options for:</t>
  </si>
  <si>
    <t>a.  Inpatient psychiatric care within your hospital</t>
  </si>
  <si>
    <t>b.  Inpatient psychiatric care in your community?</t>
  </si>
  <si>
    <t>c. Outpatient psychiatric care in your community?</t>
  </si>
  <si>
    <t>Based on your anticipated patient volume, how many total exam rooms would you like to have in the ED?</t>
  </si>
  <si>
    <t>Based on your anticipated MBH VOLUME, approximately what percentage of ED patient rooms will be utilized as:</t>
  </si>
  <si>
    <t>a. Only mental and behavioral health needs</t>
  </si>
  <si>
    <t>b. Only medical needs</t>
  </si>
  <si>
    <t>c. Both medical and mental/behavioral health needs</t>
  </si>
  <si>
    <t>Do you anticipate having a locked ED Unit?</t>
  </si>
  <si>
    <t>OUTCOME-GUIDELINE PRIORITIZATION TOOL</t>
  </si>
  <si>
    <t>Design Objectives Worksheet</t>
  </si>
  <si>
    <t>Design Objectives</t>
  </si>
  <si>
    <t>Design Outcomes/metrics</t>
  </si>
  <si>
    <t>Description</t>
  </si>
  <si>
    <t>Importance</t>
  </si>
  <si>
    <t>Outcomes</t>
  </si>
  <si>
    <t>Values</t>
  </si>
  <si>
    <t>Priority Order</t>
  </si>
  <si>
    <t>Improve Safety &amp; Security</t>
  </si>
  <si>
    <t>Preventing Self Harm</t>
  </si>
  <si>
    <t>Preventing self-harm involves implementing strategies to identify at-risk individuals, provide timely support, and reduce factors that contribute to self-injurious behaviors.</t>
  </si>
  <si>
    <t>Critically Important / Essential</t>
  </si>
  <si>
    <r>
      <rPr>
        <b/>
        <sz val="12"/>
        <color theme="1"/>
        <rFont val="Aptos Narrow"/>
        <family val="2"/>
      </rPr>
      <t xml:space="preserve"> </t>
    </r>
    <r>
      <rPr>
        <b/>
        <sz val="12"/>
        <color theme="1"/>
        <rFont val="Aptos Narrow"/>
        <family val="2"/>
        <scheme val="minor"/>
      </rPr>
      <t>First priority</t>
    </r>
  </si>
  <si>
    <t>Preveting Elopement</t>
  </si>
  <si>
    <t>Preventing elopement involves implementing strategies and interventions to reduce the risk of individuals from leaving a safe environment without supervision.</t>
  </si>
  <si>
    <t>Very Important</t>
  </si>
  <si>
    <t>Optimize Efficiency &amp; Effectiveness</t>
  </si>
  <si>
    <t>Second priority</t>
  </si>
  <si>
    <t>Improve Communication</t>
  </si>
  <si>
    <t>Third priority</t>
  </si>
  <si>
    <t>Perception of safety</t>
  </si>
  <si>
    <t>Perception of Safety refers to individuals’ feelings and beliefs about how safe they are in a given environment.</t>
  </si>
  <si>
    <t>Improve Overall Comfort for All Users</t>
  </si>
  <si>
    <t>Fourth priority</t>
  </si>
  <si>
    <t>Quick response to patient-initiated harm</t>
  </si>
  <si>
    <t>Improve the speed and effectiveness of interventions when patients initiate harm to others or to the environment.</t>
  </si>
  <si>
    <t>Slightly unimportant</t>
  </si>
  <si>
    <t>Improve Patient and Family Agency</t>
  </si>
  <si>
    <t>Fifth priority</t>
  </si>
  <si>
    <t>Reduce patient-initiated harm</t>
  </si>
  <si>
    <t>Reduce patient-initiated harm aims to minimize incidents where patients cause harm to themselves, staff, or others within the healthcare setting.</t>
  </si>
  <si>
    <t>Provide Patient Choice and Control</t>
  </si>
  <si>
    <t>Sixth priority</t>
  </si>
  <si>
    <t>Reduce need for restraints</t>
  </si>
  <si>
    <t>Reduce the frequency and necessity of using physical or chemical restraints.</t>
  </si>
  <si>
    <t>Not Important</t>
  </si>
  <si>
    <t>Reduce exposure to triggering content</t>
  </si>
  <si>
    <t>Reduced exposure to triggering content aims to minimize an individual's contact with situations, media or people that may provoke distressing emotions or reactions.</t>
  </si>
  <si>
    <t>Extremely Important</t>
  </si>
  <si>
    <t>Enhances patient visibility</t>
  </si>
  <si>
    <t>Provide visual access to the patient, improving the ability of healthcare providers to access, track, and monitor patient information in real time.</t>
  </si>
  <si>
    <t>Moderately Important</t>
  </si>
  <si>
    <t>Reduce ED waiting times and/or length of stay</t>
  </si>
  <si>
    <t>Implement targeted process improvements to reduce emergency department waiting times and overall length of stay.</t>
  </si>
  <si>
    <t>Adequate care for co-occurring med/psych conditions</t>
  </si>
  <si>
    <t>Ensure that individuals receive appropriate assessment, treatment, and ongoing management for both medical and psychiatric conditions.</t>
  </si>
  <si>
    <t>Improved coordination of patient flow</t>
  </si>
  <si>
    <t xml:space="preserve">Streamline the movement of patients through the ED during various stages of care, ensuring timely admissions, transfers, and discharges. </t>
  </si>
  <si>
    <t>Provision of appropriate psych care in the ED</t>
  </si>
  <si>
    <t>Ensure that patients presenting to the ED with MBH concerns receive timely assessment, stabilization, and access to appropriate psychiatric interventions.</t>
  </si>
  <si>
    <t>Enhance team coordination and collaboration</t>
  </si>
  <si>
    <t>Foster a collaborative environment to ensure team members work effectively together towards shared goals.</t>
  </si>
  <si>
    <t>Quick response from medical team</t>
  </si>
  <si>
    <t>Ensure that the medical care teams provide timely and effective responses to urgent situations and codes.</t>
  </si>
  <si>
    <t>Streamlined flow of information</t>
  </si>
  <si>
    <t>Optimizing communication channels and processes to ensure that relevant data and updates are efficiently shared among care team members.</t>
  </si>
  <si>
    <t>Support staff and resident training</t>
  </si>
  <si>
    <t>Provide comprehensive support to allow staff and resident training in the ED</t>
  </si>
  <si>
    <t>Reduced miscommunication with family members</t>
  </si>
  <si>
    <t>Provide clarity of information in interactions with family members, minimizing misunderstandings.</t>
  </si>
  <si>
    <t>Slightly important</t>
  </si>
  <si>
    <t>Enhance Patient and family satisfaction</t>
  </si>
  <si>
    <t>Enhance the satisfaction and emotional well-being of patients and their families by addressing their needs, preferences, and concerns.</t>
  </si>
  <si>
    <t>Improve Patient and family comfort</t>
  </si>
  <si>
    <t>Enhance the physical and physiological well-being of patients and their families.</t>
  </si>
  <si>
    <t>Reduce anxiety</t>
  </si>
  <si>
    <t>Reduces anxiety by promoting relaxation, calming the mind, and decreasing feelings of worry or nervousness.</t>
  </si>
  <si>
    <t>Reduce crowding</t>
  </si>
  <si>
    <t>Minimize the number of people in a given space at one time, to reduce the discomfort and stress associated with the perception of being crowded</t>
  </si>
  <si>
    <t>Enhanced staff satisfaction</t>
  </si>
  <si>
    <t>Enhanced staff satisfaction focuses on improving the emotional well-being, engagement, and morale of employees</t>
  </si>
  <si>
    <t>Facilitating family participation in care</t>
  </si>
  <si>
    <t>Encourage and support family involvement in the patient’s care and empower to participate in decision-making and care activities.</t>
  </si>
  <si>
    <t>Promoting trust and rapport</t>
  </si>
  <si>
    <t>Establishes a positive, respectful, and empathetic environment to the patient and family members need</t>
  </si>
  <si>
    <t>Safeguard patient confidential information</t>
  </si>
  <si>
    <t>Ensure that all patient information is protected from unauthorized access, disclosure, or misuse by following established privacy policies and practices such as HIPAA.</t>
  </si>
  <si>
    <t>Limits being seen by others</t>
  </si>
  <si>
    <t>Reduce the likelihood that of patients to be exposed to other patients or the general public after being admitted to ED.</t>
  </si>
  <si>
    <t>Reduce agitation &amp; boredom</t>
  </si>
  <si>
    <t>Reduces agitation and boredom, minimizing restlessness and disruptive behaviors.</t>
  </si>
  <si>
    <t>Enhance sense of dignity</t>
  </si>
  <si>
    <t>Foster an environment where individuals feel respected, valued, and empowered, promoting self-worth and personal pride in all interactions and activities.</t>
  </si>
  <si>
    <t>Improve emotional &amp; sleep regulation</t>
  </si>
  <si>
    <t>Enhance the ability to manage emotions and establish healthy sleep routines while in the ED</t>
  </si>
  <si>
    <t>POLICY &amp; PROCESS-BASED DESIGN FRAMEWORK</t>
  </si>
  <si>
    <t>The prompts listed in the process &amp; policy considerations and design implicaitons will help the team determine the design strategies to be considered in the proposed project</t>
  </si>
  <si>
    <t>Process &amp; Policy Consideration &amp; Design Implications</t>
  </si>
  <si>
    <t>Design Implications Questions</t>
  </si>
  <si>
    <t>Design Response</t>
  </si>
  <si>
    <t>Relevant Design Elements **</t>
  </si>
  <si>
    <t>score</t>
  </si>
  <si>
    <t>Round</t>
  </si>
  <si>
    <t>Relevant Design Objectives/Outcomes</t>
  </si>
  <si>
    <t>Architectural Elements</t>
  </si>
  <si>
    <t>Furnishings &amp; Finishes</t>
  </si>
  <si>
    <t>MEP &amp; Building Systems</t>
  </si>
  <si>
    <t>Screening</t>
  </si>
  <si>
    <t>Security Screening:</t>
  </si>
  <si>
    <t>How do you anticipate screening all patients/care partners for ligature risks and contraband items before entering the ED?</t>
  </si>
  <si>
    <t>a. What equipment/system do you anticipate using for screening patients and care partners before entering the ED?</t>
  </si>
  <si>
    <t>X</t>
  </si>
  <si>
    <t>b. Where do you anticipate screening patients and care partners before entering the ED?</t>
  </si>
  <si>
    <t>Mental &amp; Behavioral Health (MBH) Screening:</t>
  </si>
  <si>
    <t>How do you anticipate screening patients for aggression and suicide risk upon entering the ED (walk-in &amp; EMS patients)?</t>
  </si>
  <si>
    <t>a. Do you anticipate having an alternate route for taking aggressive/suicidal patients to the patient room after screening?</t>
  </si>
  <si>
    <t>Do you anticipate MBH patients and their care partners waiting in the Waiting Area</t>
  </si>
  <si>
    <t>a. Where do you anticipate the MBH patients will wait in the ED?</t>
  </si>
  <si>
    <t>b. How do you anticipate minimizing ligature risks in the MBH waiting space?</t>
  </si>
  <si>
    <t>c. How do you anticipate minimizing elopement risks in the MBH waiting space?</t>
  </si>
  <si>
    <t>d. How do you anticipate engaging/distracting MBH patients and their care partners in the ED waiting area?</t>
  </si>
  <si>
    <t>Triaging &amp; Initial Assessment</t>
  </si>
  <si>
    <t>Triaging:</t>
  </si>
  <si>
    <t>How do you anticipate triaging MBH patients in the ED?</t>
  </si>
  <si>
    <t>a. Where do you anticipate triaging MBH patients?</t>
  </si>
  <si>
    <t>b. How do you anticipate minimizing ligature points in the triaging space?</t>
  </si>
  <si>
    <t>c. How do you anticipate maintaining privacy in the ED triage room?</t>
  </si>
  <si>
    <t>Bed Allocation:</t>
  </si>
  <si>
    <t>What is your anticipated policy/process for allocating MBH patients in the ED care spaces?</t>
  </si>
  <si>
    <t>a. Where do you anticipate locating MBH patient care spaces in the ED to improve situational awareness?</t>
  </si>
  <si>
    <t>b. If you intend to use any specific technology/equipment (e.g. cameras) to improve situational awareness, where do you anticipate locating them? Where do you anticipate locating the screens that will be used for monitored?</t>
  </si>
  <si>
    <t>c. Do you anticipate using the same room for MBH and non-MBH patients?</t>
  </si>
  <si>
    <t>d. Do you anticipate having dedicated MBH rooms in the ED? How many?</t>
  </si>
  <si>
    <t>e. Do you anticipate having specific pediatric MBH friendly ED exam rooms? How many?</t>
  </si>
  <si>
    <t>How do you anticipate adapting/ligature-minimizing patient rooms for the needs of MBH patients and dual diagnosis patients?</t>
  </si>
  <si>
    <t>a. Where do you anticipate storing the equipment and supplies while ligature-minimizing the room?</t>
  </si>
  <si>
    <t>b. Do you plan to implement flexible ED-exam rooms that may be used for both MBH and non-MBH patients?</t>
  </si>
  <si>
    <t>Do you anticipate placing MBH patients in hallway beds? What type of MBH patients do you anticipate placing in hallway beds?</t>
  </si>
  <si>
    <t>a. Do you anticipate having designated areas for dedicated hallway beds for MBH patients? Where would you prefer them?</t>
  </si>
  <si>
    <t>b. How do you anticipate using hallway beds for providing care to MBH patients?</t>
  </si>
  <si>
    <t>c. Where do you anticipate having private conversations with MBH patients during assessments in hallways beds?</t>
  </si>
  <si>
    <t>d. Where do you anticipate having private conversations with care partners of MBH patients during assessments in hallways beds?</t>
  </si>
  <si>
    <t>e. How do you anticipate improving safety and minimizing ligature risks for MBH patients in hallway beds?</t>
  </si>
  <si>
    <t>Do you have a policy/process for preventing elopement?</t>
  </si>
  <si>
    <t>a. What features/equipment do you anticipate using within the ED to prevent elopement for MBH patient?</t>
  </si>
  <si>
    <t>How do you anticipate managing high volumes of MBH patients?</t>
  </si>
  <si>
    <t>a. Where do you anticipate accommodating high volumes of MBH patients?</t>
  </si>
  <si>
    <t>For general EDs: What is your anticipated policy/process for separating pediatric, adolescent, and adult MBH patients in the ED?</t>
  </si>
  <si>
    <t>a. Where do you anticipate locating spaces for adult and pediatric MBH patients in the ED?</t>
  </si>
  <si>
    <t>For pediatric EDs: What is your anticipated policy/process for separating adolescent MBH patients?</t>
  </si>
  <si>
    <t>a. Where do you anticipate locating adolescent or older pediatric MBH patients?</t>
  </si>
  <si>
    <t>Diagnostic Consideration</t>
  </si>
  <si>
    <t>Changing:</t>
  </si>
  <si>
    <t>What is your anticipated policy/process for changing MBH patients into a gown/scrubs to minimize ligature risks?</t>
  </si>
  <si>
    <t>a. Where do you anticipate storing patient gowns or scrubs for MBH patients?</t>
  </si>
  <si>
    <t>b. Where do you anticipate changing out MBH patients?</t>
  </si>
  <si>
    <t>How do you anticipate making accommodations for culturally diverse MBH patients (e.g. beliefs of modesty)?</t>
  </si>
  <si>
    <t>a. How do you anticipate accommodating cultural beliefs related to modesty/privacy in the ED?</t>
  </si>
  <si>
    <t>Patient Belongings:</t>
  </si>
  <si>
    <t>What is your anticipated policy/process for storing and retrieving the personal belongings of MBH patients?</t>
  </si>
  <si>
    <t>a. Where do you anticipate storing and retrieving the personal belongings of MBH patients?</t>
  </si>
  <si>
    <t>Patient Observation:</t>
  </si>
  <si>
    <t>What is your anticipated policy/process for MBH patient observation in the ED?</t>
  </si>
  <si>
    <t>a. How do you anticipate observing MBH patients in the ED?</t>
  </si>
  <si>
    <t>b. How do you anticipate documenting notes from patient observers?</t>
  </si>
  <si>
    <t>c. Where do you anticipate locating equipment/staff members for patient observation?</t>
  </si>
  <si>
    <t>Medical Assessment:</t>
  </si>
  <si>
    <t>How do you anticipate conducting medical assessments for pediatric MBH patients and dual diagnosis patients in the ED?</t>
  </si>
  <si>
    <t>a. What equipment might you need to conduct medical assessments for MBH and dual diagnosis patients?</t>
  </si>
  <si>
    <t>b. Where do you anticipate storing these equipment?</t>
  </si>
  <si>
    <t>c. In case you need a urine sample, which toilet do you anticipate MBH patients using for this?</t>
  </si>
  <si>
    <t>How do you anticipate conducting assessments for linguistically diverse MBH patients and care partners?</t>
  </si>
  <si>
    <t>a. For in-person interpreters, how do you anticipate integrating them within the care spaces?</t>
  </si>
  <si>
    <t>b. How do you plan to connect with remote/virtual interpreters?</t>
  </si>
  <si>
    <t>c. For remote interpreters, where do you anticipate storing equipment during and after consultations?</t>
  </si>
  <si>
    <t>d. Do you anticipate using tele-psych equipment for remote interpreters? If yes, where do you anticipate storing equipment during and after consultations?</t>
  </si>
  <si>
    <t>How do you anticipate charting and documenting MBH patient records?</t>
  </si>
  <si>
    <t>a. What kind of equipment do you anticipate using for charting and documentation?</t>
  </si>
  <si>
    <t>b. Where do you anticipate docking/storing this equipment when not in use?</t>
  </si>
  <si>
    <t>MBH Consultation &amp; Management</t>
  </si>
  <si>
    <t>MBH Assessment:</t>
  </si>
  <si>
    <t>How do you anticipate conducting MBH assessments for pediatric MBH patients and dual diagnosis patients in the ED?</t>
  </si>
  <si>
    <t>a. Where in the ED do you anticipate accommodating workstations/equipment for MBH care providers (social workers/psychiatrists)?</t>
  </si>
  <si>
    <t>b. Where do you anticipate having private conversations with MBH patients during assessments?</t>
  </si>
  <si>
    <t>c. Where do you anticipate having private conversations with parents of MBH patients during assessments?</t>
  </si>
  <si>
    <t>What is your anticipated process for conducting tele-psych consultations?</t>
  </si>
  <si>
    <t>a. Where do you anticipate conducting tele-psych consultations?</t>
  </si>
  <si>
    <t>b. What kind of equipment would you need for conducting tele-psych consultations?</t>
  </si>
  <si>
    <t>c. Where do you anticipate storing these equipment when they are not in use?</t>
  </si>
  <si>
    <t>How do you anticipate coordinating care between medical and MBH care providers in the ED?</t>
  </si>
  <si>
    <t>a. Do you anticipate having shared workstations for MBH care team members in the ED?</t>
  </si>
  <si>
    <t>b. Where do you anticipate locating workstations for medical and MBH clinicians in the ED?</t>
  </si>
  <si>
    <t>c. Do you anticipate using any technology/equipment/system for care team members to coordinate MBH care processes?</t>
  </si>
  <si>
    <t>d. Do you anticipate having a space for care team members to have private conversations about their MBH patients?</t>
  </si>
  <si>
    <t>How do you anticipate updating MBH patients/care partners about their care plan and processes?</t>
  </si>
  <si>
    <t>a. Do you anticipate using any equipment/feature/technology to share care plans and processes with MBH patients and their care partners?</t>
  </si>
  <si>
    <t>b. Where do you anticipate locating these equipment/features?</t>
  </si>
  <si>
    <t>MBH Boarding/Waiting:</t>
  </si>
  <si>
    <t>How do you anticipate MBH patients and/or care partners communicating with nurses?</t>
  </si>
  <si>
    <t>a. What system do you anticipate having in the patient room to communicate with nurses?</t>
  </si>
  <si>
    <t>b. Where do you anticipate locating these equipment/features in the room?</t>
  </si>
  <si>
    <t>c. How do you anticipate patients or care partners communicating with ED nurses from the hallway beds?</t>
  </si>
  <si>
    <t>What is your anticipated process for allowing MBH patients to use toilets/bathrooms/showers in the ED?</t>
  </si>
  <si>
    <t>a. Where do you anticipate locating these patient toilets/bathrooms/showers in the ED?</t>
  </si>
  <si>
    <t>b. Do you anticipate having ligature-minimized toilets/bathrooms/showers for MBH patients in the ED? How many?</t>
  </si>
  <si>
    <t>c. How do you anticipate minimizing ligature and elopement risks while transporting MBH patients to the toilets/bathrooms/showers?</t>
  </si>
  <si>
    <t>How do you anticipate engaging MBH patients during the stay in the ED?</t>
  </si>
  <si>
    <t>a. What kinds of activities do you anticipate having for engaging MBH patients in the ED?</t>
  </si>
  <si>
    <t>b. What kinds of spaces might you need for performing these activities?</t>
  </si>
  <si>
    <t>c. What kind of equipment (if at all) might you need to perform these activities and where might you store them during/after the activity?</t>
  </si>
  <si>
    <t>d. What additional amenities (e.g., food &amp; water), if at all, do you anticipate providing for MBH patients staying in the ED for longer periods of time?</t>
  </si>
  <si>
    <t>How do you anticipate engaging care partners of MBH patients?</t>
  </si>
  <si>
    <t>a. Where do you anticipate accommodating care partners of MBH patients?</t>
  </si>
  <si>
    <t>b. What amenities (water &amp; food options) would you like to provide for care partners of MBH patients?</t>
  </si>
  <si>
    <t>c. What additional spaces (e.g. spaces for sleeping, showering, etc.) do you anticipate providing for care partners of MBH patients?</t>
  </si>
  <si>
    <t>How do you anticipate accommodating MBH patients with longer length of stay in the ED?</t>
  </si>
  <si>
    <t>a. Where do you anticipate accommodating these patients?</t>
  </si>
  <si>
    <t>Do you anticipate separating MBH patients and care partners at any point of their stay in the ED (e.g. conflicts, de-escalation measures)?</t>
  </si>
  <si>
    <t>a. Where do you anticipate accommodating care partners when they are separated from the MBH patient?</t>
  </si>
  <si>
    <t>How do you anticipate moving MBH patients from the ED to ancillary dedicated MBH care spaces?</t>
  </si>
  <si>
    <t>a. How do you anticipate connecting the dedicated MBH care spaces to the ED?</t>
  </si>
  <si>
    <t>Managing Acutely Agitated or Aggressive Patients</t>
  </si>
  <si>
    <t>De-escalation &amp; Restraints:</t>
  </si>
  <si>
    <t>What is your anticipated process for deescalating MBH patients?</t>
  </si>
  <si>
    <t>a. Where do you anticipate performing de-escalation measures in the ED?</t>
  </si>
  <si>
    <t>b. What might you need in the room/space for de-escalating patients?</t>
  </si>
  <si>
    <t>Do you anticipate adapting the sensory environment of the patient rooms based on the patients' MBH needs?</t>
  </si>
  <si>
    <t>a. How do you plan to adapt the room sensory environment (e.g. light, sound, temperature, texture, smell)?</t>
  </si>
  <si>
    <t>b. What features of the patient room do you anticipate adapting?</t>
  </si>
  <si>
    <t>c. Who would control these sensory adaptations (e.g. patient/care partner/staff)?</t>
  </si>
  <si>
    <t>d. How do you anticipate deactivating features within the room (e.g. sensory adaptations, alarms, sinks, etc.) in case MBH patients misuse them?</t>
  </si>
  <si>
    <t>When do you anticipate using physical/chemical restraints on MBH patients in the ED? How?</t>
  </si>
  <si>
    <t>a. Where do you anticipate storing physical/chemical restraints for MBH patients?</t>
  </si>
  <si>
    <t>b. How many staff members would you need to administer physical/chemical restraints on MBH patients?</t>
  </si>
  <si>
    <t>c. What system/device do you anticipate staff members using to communicate with each other?</t>
  </si>
  <si>
    <t>d. Where do you anticipate locating these systems/devices?</t>
  </si>
  <si>
    <t>e. Where do you anticipate holding post-restraint debriefs?</t>
  </si>
  <si>
    <t>Do you anticipate staff members (e.g. security) removing items posing ligature risks (e.g. guns) before interacting with MBH patients during de-escalation?</t>
  </si>
  <si>
    <t>a. Where do you anticipate staff members storing their equipment before interacting with MBH patients?</t>
  </si>
  <si>
    <t>Staff Safety:</t>
  </si>
  <si>
    <t>What are your anticipated policies/processes for staff safety?</t>
  </si>
  <si>
    <t>a. What type of safety systems/equipment do you anticipate using?</t>
  </si>
  <si>
    <t>b. Where do you anticipate locating these safety systems/equipment?</t>
  </si>
  <si>
    <t>How do you anticipate staff members notify security or law enforcement during emergencies?</t>
  </si>
  <si>
    <t>a. What system/device do you anticipate staff members using to communicate with security/law enforcement personnel?</t>
  </si>
  <si>
    <t>b. At which locations do you anticipate having these systems/devices?</t>
  </si>
  <si>
    <t>How do you anticipate staff members to decompress and recover from the stressful situations arising from caring for MBH patients?</t>
  </si>
  <si>
    <t>a. Where do you anticipate locating these break/respite spaces for staff members?</t>
  </si>
  <si>
    <t>Disposition Planning &amp; Handoff</t>
  </si>
  <si>
    <t>Patient Transfer</t>
  </si>
  <si>
    <t>How do you anticipate transferring patients to other facilities (e.g., inpatient care facilities, DSS)?</t>
  </si>
  <si>
    <t>a. How do you anticipate transporting the patient?</t>
  </si>
  <si>
    <t>b. Where do you anticipate handing off the patient to personnel in charge of the transportation?</t>
  </si>
  <si>
    <t>** Design Feature Categories</t>
  </si>
  <si>
    <t>Architectural Elements:</t>
  </si>
  <si>
    <t>Includes major architectural elements like walls, doors, windows, skylights, etc.</t>
  </si>
  <si>
    <t>Furnishings &amp; Finishes:</t>
  </si>
  <si>
    <t>Includes furniture and  finish materials (including flooring and ceiling materials, wall protection, etc.), equipment, furnishings, accessories, casework, and decoration</t>
  </si>
  <si>
    <t>MEP &amp; Building Systems:</t>
  </si>
  <si>
    <t>Includes mechanical, electrical, and plumbing elements and systems, acoustics, headwalls, lighting, etc.</t>
  </si>
  <si>
    <t>Technology, Monitoring &amp; Entertainment Systems:</t>
  </si>
  <si>
    <t>Includes IT and communication, security and patient monitoring, and entertainment systems and devices</t>
  </si>
  <si>
    <t>Design Guidelines Prioritization Worksheet</t>
  </si>
  <si>
    <t>Category</t>
  </si>
  <si>
    <t>Guideline</t>
  </si>
  <si>
    <t>Related Outcomes</t>
  </si>
  <si>
    <t>Importance based on Outcome priotization</t>
  </si>
  <si>
    <t>Review Importance</t>
  </si>
  <si>
    <t>Improve Overall Comfort for all users</t>
  </si>
  <si>
    <t>Provide Choice &amp; Control</t>
  </si>
  <si>
    <t>Sum</t>
  </si>
  <si>
    <t>Mean</t>
  </si>
  <si>
    <t>Patient Safety</t>
  </si>
  <si>
    <t>1. Maximize staff's situational awareness of the patient</t>
  </si>
  <si>
    <t>2. Reduce opportunities for the patient to cause harm</t>
  </si>
  <si>
    <t>Worker Safety &amp; Effectiveness</t>
  </si>
  <si>
    <t>4. Optimize staff workflow</t>
  </si>
  <si>
    <t>5. Improve safety and security for staff</t>
  </si>
  <si>
    <t>6. Provide flexible and adaptable work environments</t>
  </si>
  <si>
    <t>7. Provide opportunities for staff respite</t>
  </si>
  <si>
    <t>8. Support effective communication among staff</t>
  </si>
  <si>
    <t>Patient Care Quality &amp; Experience</t>
  </si>
  <si>
    <t>9. Provide opportunities for engaging patients and care partners</t>
  </si>
  <si>
    <t>10. Support patient and family dignity and comfort</t>
  </si>
  <si>
    <t>11. Create opportunities for auditory and visual privacy</t>
  </si>
  <si>
    <t>12. Provide patient choice and control over the environment</t>
  </si>
  <si>
    <t>13. Create opportunities for sensory-friendly support</t>
  </si>
  <si>
    <t>Organizational Performance</t>
  </si>
  <si>
    <t>15. Provide timely access to psychiatric care</t>
  </si>
  <si>
    <t>Date: __________</t>
  </si>
  <si>
    <t>Design Strategy</t>
  </si>
  <si>
    <t>Successfully Implemented?</t>
  </si>
  <si>
    <t>Notes</t>
  </si>
  <si>
    <t>Maybe</t>
  </si>
  <si>
    <t>Yes</t>
  </si>
  <si>
    <t>No</t>
  </si>
  <si>
    <t>Not Applicable</t>
  </si>
  <si>
    <t>Pre-planning &amp; Programming Worksheet</t>
  </si>
  <si>
    <t>Outcome-Guideline Prioritization</t>
  </si>
  <si>
    <t>guideline</t>
  </si>
  <si>
    <t>Renovation</t>
  </si>
  <si>
    <t>PT Importance Scoring</t>
  </si>
  <si>
    <t>New Construction</t>
  </si>
  <si>
    <t>Pediatric patients only</t>
  </si>
  <si>
    <t>Adult patients only</t>
  </si>
  <si>
    <t>Both pediatric and adult patients</t>
  </si>
  <si>
    <t>General</t>
  </si>
  <si>
    <t>Guidelines Priorization</t>
  </si>
  <si>
    <t>11,12</t>
  </si>
  <si>
    <t>0-5 patients</t>
  </si>
  <si>
    <t>6-10 patients</t>
  </si>
  <si>
    <t>11-20 patients</t>
  </si>
  <si>
    <t>21-30 patients</t>
  </si>
  <si>
    <t>31-40 patients</t>
  </si>
  <si>
    <t>41-50 patients</t>
  </si>
  <si>
    <t>51- 75 patients</t>
  </si>
  <si>
    <t>76-100 patients</t>
  </si>
  <si>
    <t>more than 100 patients</t>
  </si>
  <si>
    <t>Design alignement tool</t>
  </si>
  <si>
    <t>1.1The patient's head and limbs can be seen from the hallway when they are in the bed/chair.</t>
  </si>
  <si>
    <t>1.2. There are no blind spots or hiding spots inside the room when looking from the hallway/doorway.</t>
  </si>
  <si>
    <t>1.7. Space for an observer (chair, alcove, etc.) is positioned so that it has direct visual access to the room's door(s) and any other access points.</t>
  </si>
  <si>
    <t>Design Features</t>
  </si>
  <si>
    <t>(e.g., with custom camera covers or built-in fixtures)</t>
  </si>
  <si>
    <t>(e.g., angled alcove/surveillance bay or small observation windows)</t>
  </si>
  <si>
    <t>Design Elements</t>
  </si>
  <si>
    <t>1.4. Surveillance cameras provide direct visual access to the room's door(s) and any other access points.</t>
  </si>
  <si>
    <t>1.5 Surveillance cameras are discretely integrated into the design.</t>
  </si>
  <si>
    <t>1.6. Doors do not lock from the inside. If present, any locks are on the outside (department/hallway side) of the door.</t>
  </si>
  <si>
    <t xml:space="preserve"> ●</t>
  </si>
  <si>
    <t>●</t>
  </si>
  <si>
    <t>2.1. If located in the room, the sink and all its parts (handles, faucets, etc.) are ligature-minimized and tamper-resistant.</t>
  </si>
  <si>
    <t>2.5. Any dispensers or other accessories present in the room are ligature-minimized and tamper-resistant.</t>
  </si>
  <si>
    <t>2.6. Every element in the room that could pose a ligature or weaponization risk can be made inaccessible to patients.</t>
  </si>
  <si>
    <t>2.7. The patient does not have any access to slats, cords, mechanical components or any other parts of window treatments that could pose a weaponization, harm, or ligature risk.</t>
  </si>
  <si>
    <t>2.8. Furniture, fixtures, and surfaces do not have sharp edges, protruding elements, joints, or gaps that could be used for weaponization, harm, or ligature.</t>
  </si>
  <si>
    <t>2.9. Casework and hardware are ligature-minimized and tamper-resistant.</t>
  </si>
  <si>
    <t>2.10. Casework and furnishings are designed to prevent patients from climbing.</t>
  </si>
  <si>
    <t>2.11. All electrical and mechanical fixtures (including switches, receptacles, grilles, etc.) are ligature-minimized and tamper-resistant.</t>
  </si>
  <si>
    <t>2.12. The ceiling is ligature-minimized and tamper-resistant.</t>
  </si>
  <si>
    <t>2.2. If located in the room, the computer workstation and all its parts (mounting, monitor, cords, etc.) are removable and/or ligature-minimized and tamper-resistant.</t>
  </si>
  <si>
    <t>2.4. Any emergency call buttons or other communication devices in the room are ligature-minimized and tamper-resistant.</t>
  </si>
  <si>
    <t>2.3. Any televisions and/or entertainment devices in the room and all their parts ( screens, controls, etc.) are ligature-minimized and tamper-resistant.</t>
  </si>
  <si>
    <t>Reduce harm aggainst others</t>
  </si>
  <si>
    <t xml:space="preserve"> </t>
  </si>
  <si>
    <t>3.1. The patient bed/chair is oriented away from direct view of the hallway to minimize the patient's exposure to ED activities that may be over-stimulating or distressing.</t>
  </si>
  <si>
    <t>DESIGN ALIGNEMENT TOOL</t>
  </si>
  <si>
    <t xml:space="preserve"> (e.g., games, coloring, etc.).</t>
  </si>
  <si>
    <t>Review the importance based on outcome prioritization, then select from the options in the dropdown menu in the "Review Importance" column to either confirm or adjust the levels of importance for each guideline</t>
  </si>
  <si>
    <t>Review the importance of each design outcomes and metrics, then select from the options in the dropdown menu in the "Importance" column.</t>
  </si>
  <si>
    <t>Your revision will determine priotization of the design objectives</t>
  </si>
  <si>
    <t>Objectives priotization</t>
  </si>
  <si>
    <t>Refer to the Design Guidelines chapter of the Toolkit Companion Book to learn about each of the design guidelines. This prioritization worksheet shows how important each guideline is for your project, according to related objectives and their priorities</t>
  </si>
  <si>
    <t>Review each design strategy and their association to guidelines, then select from the options in the dropdown menu in the "Successfully implemented?" to mark if the strategies have been incorporated into your design concept.</t>
  </si>
  <si>
    <t>3. Enhance sense of security for the patient and caregiver</t>
  </si>
  <si>
    <t>14.Support clarity and anticipation of the care path and steps in the healthcare experience.</t>
  </si>
  <si>
    <t>4.1. The sink (either inside or outside the room) is immediately visible and accessible to the room's entrance.</t>
  </si>
  <si>
    <t>4.2. Hand sanitizer, gloves, and other PPE are immediately accessible and visible to the room's entrance.</t>
  </si>
  <si>
    <t>4.3. There is a dedicated surface near the sink for placing items during handwashing.</t>
  </si>
  <si>
    <t>4.4. All fixtures, finishes, and furnishings are easy to clean.</t>
  </si>
  <si>
    <t>4.5. The waste bin is easy for staff members to access while being out of the patient's immediate reach.</t>
  </si>
  <si>
    <t>4.6. Any adjacent surfaces to the sink are protected from water splashes (via splash guards or other means).</t>
  </si>
  <si>
    <t>Conflicts</t>
  </si>
  <si>
    <t>Stakeholder Engagement &amp; Design Discussion Worksheet</t>
  </si>
  <si>
    <t>5.1. The door's design (e.g., size, hardware, operation, location) facilitates rapid staff escape and provides an unobstructed exit pathway.</t>
  </si>
  <si>
    <t>5.2. Patients cannot use the furniture in the room to trap staff members</t>
  </si>
  <si>
    <t>5.3. The room's layout allows staff to position themselves between the patient and the exit during monitoring and treatment to mitigate the potential of the patient trapping staff members in the room.</t>
  </si>
  <si>
    <t>5.4 The patient bed, if provided, can move to be accessed from all sides so two or more staff members can safely conduct de-escalation and/or restraint tasks.</t>
  </si>
  <si>
    <t>5.5. The patient cannot access the contents of the sharps container.</t>
  </si>
  <si>
    <t>5.6. Patients cannot throw the furniture or use the furniture to harm staff members.</t>
  </si>
  <si>
    <t>Reduce staff workload (physical and cognitive)</t>
  </si>
  <si>
    <t>Implement strategies and tools to minimize manual and mental, reducing the overall workload and task demmands for staff.</t>
  </si>
  <si>
    <t>(e.g. airway and breathing supplies, bag-valve masks, resuscitation equipment)</t>
  </si>
  <si>
    <t>(e.g. monitoring and diagnostic tools, trauma and bleeding control, IV/medication supplies, etc.).</t>
  </si>
  <si>
    <t>Ensure rapid identification and intervention in emergencies and (self) harm incidents to minimize risk, providing immediate support from healthcare staff.</t>
  </si>
  <si>
    <t>Quicker response in emergency events</t>
  </si>
  <si>
    <t>3.2 The room's design minimizes direct visual exposure of the patient from the hallway.</t>
  </si>
  <si>
    <t>3.3. The emergency call button and/or communication device is easily accessible from the patient bed/chair.</t>
  </si>
  <si>
    <t>3.4.The emergency call button and/or communication device is easily accessible to the care partner(s).</t>
  </si>
  <si>
    <t>(e.g. medical equipment, supplies, sharps container, communication boards, soap and gloves, decorative elements, etc.)</t>
  </si>
  <si>
    <t>verify conflicts</t>
  </si>
  <si>
    <t>6.1. The headwall can be closed, dismounted, or otherwise efficiently adapted to restrict patient access</t>
  </si>
  <si>
    <t>6.2. There is adequate storage space in the room to accommodate all medical supplies and equipment</t>
  </si>
  <si>
    <t>6.3. Adequate storage for the waste bin is provided to keep the bin in the room while restricting patient access to it.</t>
  </si>
  <si>
    <t>6.4. Adequate storage for the sharps container is provided to keep the container in the room while restricting patient access to it.</t>
  </si>
  <si>
    <t>6.5. The computer can easily be stored and secured, either in the room or close to the room's entrance</t>
  </si>
  <si>
    <t>6.6. The procedures workstation can easily be stored and secured, either in the room or close to the room's entrance</t>
  </si>
  <si>
    <t>6.7. The IV pole can easily be stored and secured, either in the room or close to the room's entrance</t>
  </si>
  <si>
    <t>6.8. Mobile lighting equipment can easily be stored and secured, either in the room or close to the room's entrance</t>
  </si>
  <si>
    <t>6.9. All cabinets in the room can be locked with tamper-resistant locks, limiting patient access</t>
  </si>
  <si>
    <t>6.10. The room incorporates a clear labeling system to identify potential ligature and other risks, enabling staff to quickly recognize potential risks</t>
  </si>
  <si>
    <t>Technology &amp; Other Elements</t>
  </si>
  <si>
    <t>Technology &amp; other elements</t>
  </si>
  <si>
    <t xml:space="preserve"> (e.g., individual reading or night lights)</t>
  </si>
  <si>
    <t xml:space="preserve"> (e.g., communication devices, call buttons)</t>
  </si>
  <si>
    <t>(e.g., choosing projections or decoration)</t>
  </si>
  <si>
    <t xml:space="preserve"> (e.g., young children, adolescents)</t>
  </si>
  <si>
    <t xml:space="preserve"> (e.g., color-changeable lighting, bubble walls, sound machines, aromatherapy, etc.)</t>
  </si>
  <si>
    <t xml:space="preserve"> (e.g., interactive murals, projected visuals, ambient light or soundscapes, etc.)</t>
  </si>
  <si>
    <t xml:space="preserve"> (e.g., videos, music, games, virtual reality activities, etc.)</t>
  </si>
  <si>
    <t xml:space="preserve"> (e.g., art, projected images, digital art display, etc.)</t>
  </si>
  <si>
    <t>4.7. Care provider furniture can easily be moved to accommodate staff and patient needs.</t>
  </si>
  <si>
    <t>4.8. There is a clearly defined zone for a patient observer, out of the way of key staff workflows.</t>
  </si>
  <si>
    <t>4.9. Patient observer furniture can easily be moved to accommodate varying needs.</t>
  </si>
  <si>
    <t>4.10. It is possible for a patient observer to sit within arms' length of the patient without blocking staff workflows.</t>
  </si>
  <si>
    <t>4.11. The computer workstation (either fixed or mobile) is positionable such that staff can maintain a clear line of sight to the patient while using the workstation.</t>
  </si>
  <si>
    <t>Having a surface near the sink can be used for self-care. (brushing teeth, washing the face).</t>
  </si>
  <si>
    <t>4.12. The patient bed and/or chair can be moved in and out of the room with ease.</t>
  </si>
  <si>
    <t>4.13. The room door size, type, and location supports rapid, unobstructed entry into the room and to the patient bed and/or chair.</t>
  </si>
  <si>
    <t>4.14. The vitals monitor is positioned to be conveniently visible and unobstructed to staff</t>
  </si>
  <si>
    <t>4.15. The headwall is positioned and kept free of obstructions, providing adequate working clearance so staff can quickly reach and operate all receptacles, devices, and connections.</t>
  </si>
  <si>
    <t>4.16. The headwall has all necessary medical gas outlets and electrical receptacles to power equipment.</t>
  </si>
  <si>
    <t>4.17. Emergency supplies/supply storage are unobstructed, easily accessible, and immediately visible upon entering the room</t>
  </si>
  <si>
    <t>4.18. Medical supplies/supply storage are unobstructed, easily accessible, and immediately visible upon entering the room</t>
  </si>
  <si>
    <t>4.19 A sharps container is easily accessible to staff</t>
  </si>
  <si>
    <t>4.20. Storage is easily accessible and not blocked by equipment or staff workflows</t>
  </si>
  <si>
    <t>4.21. The computer workstation (whether fixed or mobile), is positioned (or can be positioned) such that it is easy to access and will not be blocked by mobile equipment or staff workflows.</t>
  </si>
  <si>
    <t>4.22. The procedures workstation (whether fixed or mobile), is positioned (or can be positioned) such that it is easy to access and will not be blocked by mobile equipment or staff workflows</t>
  </si>
  <si>
    <t>4.23. Opening and closing the door does not conflict with or obstruct workflows</t>
  </si>
  <si>
    <t>4.24. Lighting allows for uniform, adequate illumination to perform examinations</t>
  </si>
  <si>
    <t>4.25. Lighting allows for adjustability in brightness and/or directionality</t>
  </si>
  <si>
    <t>3.5. Staff can supervise and/or curate entertainment and media options accessible to the patient</t>
  </si>
  <si>
    <t>9.1. Care partner furniture supports face-to-face conversation with staff members and the patient</t>
  </si>
  <si>
    <t>9.2. The room's acoustic design supports private care partner-provider conversations right outside the room, protecting patients from heavy/difficult topics</t>
  </si>
  <si>
    <t>9.3. Care partners have more than one resource to communicate with the ED nursing staff</t>
  </si>
  <si>
    <t>9.4. The room's design comfortably accommodates more than one care partner</t>
  </si>
  <si>
    <t>9.5. Care partner furniture does not impeded or disrupt staff workflows</t>
  </si>
  <si>
    <t>9.6. The lighting design allows the family zone and patient zone to be controlled separately</t>
  </si>
  <si>
    <t>9.7 There is a stable, cleanable work surface sized for shared activities between the patient and care providers</t>
  </si>
  <si>
    <t>9.8. The room's design accommodates family members/care partners to sleep in the room</t>
  </si>
  <si>
    <t>10.1. The room's interior design creates a warm and inviting ambiance</t>
  </si>
  <si>
    <t>10.2. There are decorative elements in the room</t>
  </si>
  <si>
    <t>10.3. The design incorporates lighting systems that can be programmed to adjust color, brightness, and/or timing to create specific moods or atmospheres</t>
  </si>
  <si>
    <t>10.4. The design incorporates decorative biophilic elements</t>
  </si>
  <si>
    <t>10.5. The design has windows (or simulated windows) offering views to natural elements</t>
  </si>
  <si>
    <t>10.6. The design has windows with views to the outdoors</t>
  </si>
  <si>
    <t>10.7. HVAC systems can be controlled and adjusted by staff to meet the needs of individuals with sensory sensitivities</t>
  </si>
  <si>
    <t>10.8. The lighting design ensures adequate illumination while considering the needs of individuals with sensory sensitivities</t>
  </si>
  <si>
    <t>10.9. Care partner and patient areas have diffuse lighting options for soft, uniform illumination</t>
  </si>
  <si>
    <t>10.10 The design provides daylight access or Circadian lighting that mimics natural changes in lighting color and temperature throughout the day</t>
  </si>
  <si>
    <t>10.11. Patient bed/chair is comfortable for extended periods of use</t>
  </si>
  <si>
    <t>10.12. Patient bed/chair has height-adjustable head/foot sections</t>
  </si>
  <si>
    <t>10.13. Additional seating furniture is comfortable for extended periods of use</t>
  </si>
  <si>
    <t>10.14. The entertainment system is clearly visible from the patient bed/chair</t>
  </si>
  <si>
    <t>10.15. The entertainment system is clearly visible from care partner seating</t>
  </si>
  <si>
    <t>10.16.Furniture, fixtures, equipment, and finishes are constructed of impact-resistant materials that withstand abuse</t>
  </si>
  <si>
    <t>10.17 Walls have guards or protection panels that prevent damage from moving furniture and equipment</t>
  </si>
  <si>
    <t>11.1. The design incorporates a white noise system to help mask external sounds and reduce noise disruptions</t>
  </si>
  <si>
    <t>11.2. Doors, windows, and walls are designed to minimize sound transmission and facilitate privacy and aural comfort</t>
  </si>
  <si>
    <t>11.3. There are blinds, shutters, or other privacy control measures on the windows facing the hallway to allow for adjustable levels of patient privacy</t>
  </si>
  <si>
    <t>11.4. There are blinds, shutters, or other privacy control measures on the windows facing the outdoors</t>
  </si>
  <si>
    <t>12.1. Patients have more than one choice of place to sit, lie down, or stand</t>
  </si>
  <si>
    <t>12.2. Patients can have control over the entertainment system</t>
  </si>
  <si>
    <t>12.3. Patients can have control over the room's temperature</t>
  </si>
  <si>
    <t>12.4. Patients can have control over the blinds and shutters on outdoor windows</t>
  </si>
  <si>
    <t>12.5. Patients and care partners can control lighting</t>
  </si>
  <si>
    <t>12.6. There is a dedicated, lockable storage area within the patient's line of sight for storing patient belongings.</t>
  </si>
  <si>
    <t xml:space="preserve">12.7. The design allows for some level of visual customization by the patient </t>
  </si>
  <si>
    <t>13.1. The room's decoration/aesthetic is appropriate for the full range of ages of patients that will be cared for in the room</t>
  </si>
  <si>
    <t>13.2. The room's design incorporates opportunities for sensory experiences in the room</t>
  </si>
  <si>
    <t>13.4. The design offers opportunities for positive patient distraction</t>
  </si>
  <si>
    <t>13.5. The room's design incorporates opportunities for immersive experiences within the room</t>
  </si>
  <si>
    <t>13.6. The entertainment system's content changes in real-time based on user inputs</t>
  </si>
  <si>
    <t xml:space="preserve">Importance </t>
  </si>
  <si>
    <t>Design Alignement Tool Report</t>
  </si>
  <si>
    <t>Total Itens</t>
  </si>
  <si>
    <t>Importance weighting score</t>
  </si>
  <si>
    <t>Maybes     (count as null)</t>
  </si>
  <si>
    <t>Yes          (Count as 1)</t>
  </si>
  <si>
    <t>Maximum score</t>
  </si>
  <si>
    <t>Score obtained</t>
  </si>
  <si>
    <t>No's         (Count as null)</t>
  </si>
  <si>
    <t>Alignement Score* (percentage, unweighted)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</si>
</sst>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
  </numFmts>
  <fonts count="39" x14ac:knownFonts="1">
    <font>
      <sz val="11"/>
      <color theme="1"/>
      <name val="Aptos Narrow"/>
      <family val="2"/>
      <scheme val="minor"/>
    </font>
    <font>
      <b/>
      <sz val="11"/>
      <color theme="1"/>
      <name val="Aptos Narrow"/>
      <family val="2"/>
      <scheme val="minor"/>
    </font>
    <font>
      <sz val="11"/>
      <color theme="1"/>
      <name val="Arial Narrow"/>
      <family val="2"/>
    </font>
    <font>
      <b/>
      <sz val="12"/>
      <color theme="1"/>
      <name val="Arial Narrow"/>
      <family val="2"/>
    </font>
    <font>
      <sz val="12"/>
      <color theme="1"/>
      <name val="Arial Narrow"/>
      <family val="2"/>
    </font>
    <font>
      <sz val="12"/>
      <color rgb="FFFF0000"/>
      <name val="Arial Narrow"/>
      <family val="2"/>
    </font>
    <font>
      <b/>
      <sz val="12"/>
      <color theme="0"/>
      <name val="Arial Narrow"/>
      <family val="2"/>
    </font>
    <font>
      <i/>
      <sz val="8"/>
      <color theme="0"/>
      <name val="Arial Narrow"/>
      <family val="2"/>
    </font>
    <font>
      <i/>
      <sz val="11"/>
      <color theme="1"/>
      <name val="Aptos Narrow"/>
      <family val="2"/>
      <scheme val="minor"/>
    </font>
    <font>
      <b/>
      <i/>
      <sz val="11"/>
      <color theme="1"/>
      <name val="Aptos Narrow"/>
      <family val="2"/>
      <scheme val="minor"/>
    </font>
    <font>
      <b/>
      <sz val="10"/>
      <color theme="1"/>
      <name val="Arial Narrow"/>
      <family val="2"/>
    </font>
    <font>
      <b/>
      <sz val="10"/>
      <color theme="0"/>
      <name val="Arial Narrow"/>
      <family val="2"/>
    </font>
    <font>
      <b/>
      <sz val="14"/>
      <color theme="1"/>
      <name val="Arial Narrow"/>
      <family val="2"/>
    </font>
    <font>
      <i/>
      <sz val="12"/>
      <color theme="1"/>
      <name val="Arial Narrow"/>
      <family val="2"/>
    </font>
    <font>
      <b/>
      <sz val="11"/>
      <color theme="0"/>
      <name val="Arial Narrow"/>
      <family val="2"/>
    </font>
    <font>
      <sz val="10"/>
      <color theme="1"/>
      <name val="Arial Narrow"/>
      <family val="2"/>
    </font>
    <font>
      <b/>
      <sz val="12"/>
      <color theme="1"/>
      <name val="Aptos Narrow"/>
      <family val="2"/>
      <scheme val="minor"/>
    </font>
    <font>
      <b/>
      <sz val="12"/>
      <color theme="1"/>
      <name val="Aptos Narrow"/>
      <family val="2"/>
    </font>
    <font>
      <sz val="8"/>
      <color theme="1"/>
      <name val="Aptos Narrow"/>
      <family val="2"/>
      <scheme val="minor"/>
    </font>
    <font>
      <sz val="8"/>
      <color theme="0" tint="-0.34998626667073579"/>
      <name val="Aptos Narrow"/>
      <family val="2"/>
      <scheme val="minor"/>
    </font>
    <font>
      <b/>
      <sz val="8"/>
      <color theme="1"/>
      <name val="Aptos Narrow"/>
      <family val="2"/>
      <scheme val="minor"/>
    </font>
    <font>
      <i/>
      <sz val="11"/>
      <color theme="1"/>
      <name val="Arial Narrow"/>
      <family val="2"/>
    </font>
    <font>
      <i/>
      <sz val="12"/>
      <color rgb="FFFF0000"/>
      <name val="Arial Narrow"/>
      <family val="2"/>
    </font>
    <font>
      <b/>
      <i/>
      <sz val="12"/>
      <color theme="0"/>
      <name val="Arial Narrow"/>
      <family val="2"/>
    </font>
    <font>
      <b/>
      <sz val="11"/>
      <color theme="0"/>
      <name val="Aptos Narrow"/>
      <family val="2"/>
    </font>
    <font>
      <sz val="11"/>
      <color theme="1"/>
      <name val="Aptos Narrow"/>
      <family val="2"/>
    </font>
    <font>
      <b/>
      <i/>
      <sz val="10"/>
      <color theme="0"/>
      <name val="Arial Narrow"/>
      <family val="2"/>
    </font>
    <font>
      <i/>
      <sz val="8"/>
      <color theme="1"/>
      <name val="Arial Narrow"/>
      <family val="2"/>
    </font>
    <font>
      <sz val="11"/>
      <name val="Arial Narrow"/>
      <family val="2"/>
    </font>
    <font>
      <b/>
      <sz val="12"/>
      <name val="Arial Narrow"/>
      <family val="2"/>
    </font>
    <font>
      <sz val="12"/>
      <name val="Arial Narrow"/>
      <family val="2"/>
    </font>
    <font>
      <b/>
      <sz val="11"/>
      <name val="Arial Narrow"/>
      <family val="2"/>
    </font>
    <font>
      <b/>
      <sz val="16"/>
      <color theme="1"/>
      <name val="Arial Narrow"/>
      <family val="2"/>
    </font>
    <font>
      <b/>
      <sz val="8"/>
      <color theme="0"/>
      <name val="Arial Narrow"/>
      <family val="2"/>
    </font>
    <font>
      <sz val="10"/>
      <color rgb="FF000000"/>
      <name val="Aptos Narrow"/>
      <family val="2"/>
      <scheme val="minor"/>
    </font>
    <font>
      <sz val="11"/>
      <color rgb="FF9C0006"/>
      <name val="Aptos Narrow"/>
      <family val="2"/>
      <scheme val="minor"/>
    </font>
    <font>
      <sz val="8"/>
      <color theme="1"/>
      <name val="Times New Roman"/>
      <family val="1"/>
    </font>
    <font>
      <sz val="8"/>
      <color theme="0" tint="-0.34998626667073579"/>
      <name val="Times New Roman"/>
      <family val="1"/>
    </font>
    <font>
      <sz val="11"/>
      <name val="Aptos Narrow"/>
      <family val="2"/>
      <scheme val="minor"/>
    </font>
  </fonts>
  <fills count="21">
    <fill>
      <patternFill patternType="none"/>
    </fill>
    <fill>
      <patternFill patternType="gray125"/>
    </fill>
    <fill>
      <patternFill patternType="solid">
        <fgColor rgb="FF6C7171"/>
        <bgColor indexed="64"/>
      </patternFill>
    </fill>
    <fill>
      <patternFill patternType="solid">
        <fgColor rgb="FFB84F26"/>
        <bgColor indexed="64"/>
      </patternFill>
    </fill>
    <fill>
      <patternFill patternType="solid">
        <fgColor rgb="FF1E3C27"/>
        <bgColor indexed="64"/>
      </patternFill>
    </fill>
    <fill>
      <patternFill patternType="solid">
        <fgColor rgb="FF993D69"/>
        <bgColor indexed="64"/>
      </patternFill>
    </fill>
    <fill>
      <patternFill patternType="solid">
        <fgColor theme="0" tint="-0.14999847407452621"/>
        <bgColor indexed="64"/>
      </patternFill>
    </fill>
    <fill>
      <patternFill patternType="solid">
        <fgColor rgb="FF1F3054"/>
        <bgColor indexed="64"/>
      </patternFill>
    </fill>
    <fill>
      <patternFill patternType="solid">
        <fgColor theme="3" tint="0.79998168889431442"/>
        <bgColor indexed="64"/>
      </patternFill>
    </fill>
    <fill>
      <patternFill patternType="solid">
        <fgColor rgb="FFEFC1AF"/>
        <bgColor indexed="64"/>
      </patternFill>
    </fill>
    <fill>
      <patternFill patternType="solid">
        <fgColor rgb="FFC2E0CB"/>
        <bgColor indexed="64"/>
      </patternFill>
    </fill>
    <fill>
      <patternFill patternType="solid">
        <fgColor rgb="FFDFAFC6"/>
        <bgColor indexed="64"/>
      </patternFill>
    </fill>
    <fill>
      <patternFill patternType="solid">
        <fgColor theme="0" tint="-0.499984740745262"/>
        <bgColor indexed="64"/>
      </patternFill>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theme="0"/>
        <bgColor indexed="64"/>
      </patternFill>
    </fill>
    <fill>
      <patternFill patternType="solid">
        <fgColor rgb="FFD0B71E"/>
        <bgColor indexed="64"/>
      </patternFill>
    </fill>
    <fill>
      <patternFill patternType="solid">
        <fgColor rgb="FFF5F6E6"/>
        <bgColor indexed="64"/>
      </patternFill>
    </fill>
    <fill>
      <patternFill patternType="solid">
        <fgColor rgb="FF0E2841"/>
        <bgColor indexed="64"/>
      </patternFill>
    </fill>
    <fill>
      <patternFill patternType="solid">
        <fgColor rgb="FFFFC7CE"/>
      </patternFill>
    </fill>
  </fills>
  <borders count="14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hair">
        <color auto="1"/>
      </right>
      <top style="thin">
        <color auto="1"/>
      </top>
      <bottom style="thin">
        <color auto="1"/>
      </bottom>
      <diagonal/>
    </border>
    <border>
      <left style="hair">
        <color auto="1"/>
      </left>
      <right/>
      <top style="thin">
        <color auto="1"/>
      </top>
      <bottom style="thin">
        <color auto="1"/>
      </bottom>
      <diagonal/>
    </border>
    <border>
      <left/>
      <right style="thin">
        <color indexed="64"/>
      </right>
      <top style="thin">
        <color auto="1"/>
      </top>
      <bottom/>
      <diagonal/>
    </border>
    <border>
      <left/>
      <right style="thin">
        <color indexed="64"/>
      </right>
      <top/>
      <bottom/>
      <diagonal/>
    </border>
    <border>
      <left style="thin">
        <color indexed="64"/>
      </left>
      <right style="thin">
        <color indexed="64"/>
      </right>
      <top style="thin">
        <color auto="1"/>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dotted">
        <color indexed="64"/>
      </top>
      <bottom/>
      <diagonal/>
    </border>
    <border>
      <left/>
      <right style="thin">
        <color indexed="64"/>
      </right>
      <top style="dotted">
        <color indexed="64"/>
      </top>
      <bottom/>
      <diagonal/>
    </border>
    <border>
      <left style="thin">
        <color indexed="64"/>
      </left>
      <right style="thin">
        <color indexed="64"/>
      </right>
      <top style="dotted">
        <color indexed="64"/>
      </top>
      <bottom style="dotted">
        <color indexed="64"/>
      </bottom>
      <diagonal/>
    </border>
    <border>
      <left/>
      <right style="thin">
        <color indexed="64"/>
      </right>
      <top style="dotted">
        <color indexed="64"/>
      </top>
      <bottom style="dotted">
        <color indexed="64"/>
      </bottom>
      <diagonal/>
    </border>
    <border>
      <left style="thin">
        <color indexed="64"/>
      </left>
      <right style="thin">
        <color indexed="64"/>
      </right>
      <top style="dotted">
        <color indexed="64"/>
      </top>
      <bottom style="thin">
        <color auto="1"/>
      </bottom>
      <diagonal/>
    </border>
    <border>
      <left/>
      <right style="thin">
        <color indexed="64"/>
      </right>
      <top style="dotted">
        <color indexed="64"/>
      </top>
      <bottom style="thin">
        <color auto="1"/>
      </bottom>
      <diagonal/>
    </border>
    <border>
      <left style="thin">
        <color indexed="64"/>
      </left>
      <right style="thin">
        <color indexed="64"/>
      </right>
      <top style="hair">
        <color indexed="64"/>
      </top>
      <bottom/>
      <diagonal/>
    </border>
    <border>
      <left/>
      <right style="thin">
        <color indexed="64"/>
      </right>
      <top style="hair">
        <color indexed="64"/>
      </top>
      <bottom/>
      <diagonal/>
    </border>
    <border>
      <left style="thin">
        <color indexed="64"/>
      </left>
      <right style="thin">
        <color indexed="64"/>
      </right>
      <top style="hair">
        <color indexed="64"/>
      </top>
      <bottom style="thin">
        <color auto="1"/>
      </bottom>
      <diagonal/>
    </border>
    <border>
      <left/>
      <right style="thin">
        <color indexed="64"/>
      </right>
      <top style="hair">
        <color indexed="64"/>
      </top>
      <bottom style="thin">
        <color auto="1"/>
      </bottom>
      <diagonal/>
    </border>
    <border>
      <left style="thin">
        <color indexed="64"/>
      </left>
      <right style="thin">
        <color indexed="64"/>
      </right>
      <top style="hair">
        <color indexed="64"/>
      </top>
      <bottom style="dotted">
        <color indexed="64"/>
      </bottom>
      <diagonal/>
    </border>
    <border>
      <left/>
      <right style="thin">
        <color indexed="64"/>
      </right>
      <top style="hair">
        <color indexed="64"/>
      </top>
      <bottom style="dotted">
        <color indexed="64"/>
      </bottom>
      <diagonal/>
    </border>
    <border>
      <left style="thin">
        <color indexed="64"/>
      </left>
      <right style="thin">
        <color indexed="64"/>
      </right>
      <top style="hair">
        <color indexed="64"/>
      </top>
      <bottom style="hair">
        <color indexed="64"/>
      </bottom>
      <diagonal/>
    </border>
    <border>
      <left/>
      <right style="thin">
        <color indexed="64"/>
      </right>
      <top style="hair">
        <color indexed="64"/>
      </top>
      <bottom style="hair">
        <color indexed="64"/>
      </bottom>
      <diagonal/>
    </border>
    <border>
      <left style="thin">
        <color auto="1"/>
      </left>
      <right style="hair">
        <color indexed="64"/>
      </right>
      <top style="thin">
        <color auto="1"/>
      </top>
      <bottom/>
      <diagonal/>
    </border>
    <border>
      <left style="thin">
        <color auto="1"/>
      </left>
      <right style="hair">
        <color indexed="64"/>
      </right>
      <top style="dotted">
        <color indexed="64"/>
      </top>
      <bottom style="dotted">
        <color indexed="64"/>
      </bottom>
      <diagonal/>
    </border>
    <border>
      <left style="thin">
        <color auto="1"/>
      </left>
      <right style="hair">
        <color indexed="64"/>
      </right>
      <top style="dotted">
        <color indexed="64"/>
      </top>
      <bottom/>
      <diagonal/>
    </border>
    <border>
      <left style="thin">
        <color auto="1"/>
      </left>
      <right style="hair">
        <color indexed="64"/>
      </right>
      <top style="dotted">
        <color indexed="64"/>
      </top>
      <bottom style="thin">
        <color auto="1"/>
      </bottom>
      <diagonal/>
    </border>
    <border>
      <left style="thin">
        <color auto="1"/>
      </left>
      <right style="hair">
        <color indexed="64"/>
      </right>
      <top style="hair">
        <color indexed="64"/>
      </top>
      <bottom/>
      <diagonal/>
    </border>
    <border>
      <left style="thin">
        <color auto="1"/>
      </left>
      <right style="hair">
        <color indexed="64"/>
      </right>
      <top style="hair">
        <color indexed="64"/>
      </top>
      <bottom style="hair">
        <color indexed="64"/>
      </bottom>
      <diagonal/>
    </border>
    <border>
      <left style="thin">
        <color auto="1"/>
      </left>
      <right style="hair">
        <color indexed="64"/>
      </right>
      <top style="hair">
        <color indexed="64"/>
      </top>
      <bottom style="dotted">
        <color indexed="64"/>
      </bottom>
      <diagonal/>
    </border>
    <border>
      <left style="thin">
        <color auto="1"/>
      </left>
      <right style="hair">
        <color indexed="64"/>
      </right>
      <top style="hair">
        <color indexed="64"/>
      </top>
      <bottom style="thin">
        <color auto="1"/>
      </bottom>
      <diagonal/>
    </border>
    <border>
      <left style="thin">
        <color auto="1"/>
      </left>
      <right style="hair">
        <color indexed="64"/>
      </right>
      <top/>
      <bottom/>
      <diagonal/>
    </border>
    <border>
      <left/>
      <right style="hair">
        <color auto="1"/>
      </right>
      <top style="thin">
        <color auto="1"/>
      </top>
      <bottom style="thin">
        <color auto="1"/>
      </bottom>
      <diagonal/>
    </border>
    <border>
      <left style="thin">
        <color indexed="64"/>
      </left>
      <right style="thin">
        <color indexed="64"/>
      </right>
      <top style="dotted">
        <color indexed="64"/>
      </top>
      <bottom style="hair">
        <color indexed="64"/>
      </bottom>
      <diagonal/>
    </border>
    <border>
      <left style="thin">
        <color auto="1"/>
      </left>
      <right/>
      <top style="thin">
        <color auto="1"/>
      </top>
      <bottom/>
      <diagonal/>
    </border>
    <border>
      <left style="thin">
        <color auto="1"/>
      </left>
      <right/>
      <top/>
      <bottom style="thin">
        <color auto="1"/>
      </bottom>
      <diagonal/>
    </border>
    <border>
      <left/>
      <right/>
      <top style="thin">
        <color auto="1"/>
      </top>
      <bottom/>
      <diagonal/>
    </border>
    <border>
      <left/>
      <right/>
      <top/>
      <bottom style="thin">
        <color auto="1"/>
      </bottom>
      <diagonal/>
    </border>
    <border>
      <left/>
      <right style="thin">
        <color auto="1"/>
      </right>
      <top/>
      <bottom style="thin">
        <color auto="1"/>
      </bottom>
      <diagonal/>
    </border>
    <border>
      <left/>
      <right/>
      <top style="thin">
        <color auto="1"/>
      </top>
      <bottom style="hair">
        <color theme="0" tint="-0.14999847407452621"/>
      </bottom>
      <diagonal/>
    </border>
    <border>
      <left style="hair">
        <color auto="1"/>
      </left>
      <right style="hair">
        <color auto="1"/>
      </right>
      <top/>
      <bottom style="thin">
        <color auto="1"/>
      </bottom>
      <diagonal/>
    </border>
    <border>
      <left style="hair">
        <color auto="1"/>
      </left>
      <right/>
      <top/>
      <bottom style="thin">
        <color auto="1"/>
      </bottom>
      <diagonal/>
    </border>
    <border>
      <left/>
      <right style="thin">
        <color auto="1"/>
      </right>
      <top style="thin">
        <color auto="1"/>
      </top>
      <bottom style="hair">
        <color theme="0" tint="-0.14999847407452621"/>
      </bottom>
      <diagonal/>
    </border>
    <border>
      <left/>
      <right style="hair">
        <color auto="1"/>
      </right>
      <top/>
      <bottom style="thin">
        <color auto="1"/>
      </bottom>
      <diagonal/>
    </border>
    <border>
      <left style="thin">
        <color auto="1"/>
      </left>
      <right style="hair">
        <color auto="1"/>
      </right>
      <top/>
      <bottom style="thin">
        <color auto="1"/>
      </bottom>
      <diagonal/>
    </border>
    <border>
      <left style="thin">
        <color auto="1"/>
      </left>
      <right/>
      <top/>
      <bottom/>
      <diagonal/>
    </border>
    <border>
      <left/>
      <right style="hair">
        <color indexed="64"/>
      </right>
      <top style="thin">
        <color auto="1"/>
      </top>
      <bottom style="hair">
        <color theme="0" tint="-0.14999847407452621"/>
      </bottom>
      <diagonal/>
    </border>
    <border>
      <left/>
      <right style="hair">
        <color indexed="64"/>
      </right>
      <top/>
      <bottom/>
      <diagonal/>
    </border>
    <border>
      <left/>
      <right style="hair">
        <color indexed="64"/>
      </right>
      <top style="thin">
        <color auto="1"/>
      </top>
      <bottom/>
      <diagonal/>
    </border>
    <border>
      <left style="hair">
        <color indexed="64"/>
      </left>
      <right/>
      <top style="thin">
        <color auto="1"/>
      </top>
      <bottom style="hair">
        <color theme="0" tint="-0.14999847407452621"/>
      </bottom>
      <diagonal/>
    </border>
    <border>
      <left style="hair">
        <color indexed="64"/>
      </left>
      <right/>
      <top/>
      <bottom/>
      <diagonal/>
    </border>
    <border>
      <left style="hair">
        <color indexed="64"/>
      </left>
      <right/>
      <top style="thin">
        <color auto="1"/>
      </top>
      <bottom/>
      <diagonal/>
    </border>
    <border>
      <left style="hair">
        <color auto="1"/>
      </left>
      <right style="thin">
        <color indexed="64"/>
      </right>
      <top/>
      <bottom style="thin">
        <color auto="1"/>
      </bottom>
      <diagonal/>
    </border>
    <border>
      <left style="thin">
        <color indexed="64"/>
      </left>
      <right style="thin">
        <color indexed="64"/>
      </right>
      <top style="thin">
        <color indexed="64"/>
      </top>
      <bottom style="hair">
        <color indexed="64"/>
      </bottom>
      <diagonal/>
    </border>
    <border>
      <left style="hair">
        <color auto="1"/>
      </left>
      <right style="thin">
        <color auto="1"/>
      </right>
      <top/>
      <bottom/>
      <diagonal/>
    </border>
    <border>
      <left style="thin">
        <color indexed="64"/>
      </left>
      <right style="thin">
        <color indexed="64"/>
      </right>
      <top/>
      <bottom style="hair">
        <color indexed="64"/>
      </bottom>
      <diagonal/>
    </border>
    <border>
      <left style="thin">
        <color indexed="64"/>
      </left>
      <right style="thin">
        <color indexed="64"/>
      </right>
      <top/>
      <bottom style="dotted">
        <color indexed="64"/>
      </bottom>
      <diagonal/>
    </border>
    <border>
      <left style="thin">
        <color indexed="64"/>
      </left>
      <right style="thin">
        <color indexed="64"/>
      </right>
      <top style="thin">
        <color indexed="64"/>
      </top>
      <bottom style="dotted">
        <color indexed="64"/>
      </bottom>
      <diagonal/>
    </border>
    <border>
      <left/>
      <right style="thin">
        <color indexed="64"/>
      </right>
      <top style="thin">
        <color auto="1"/>
      </top>
      <bottom style="dotted">
        <color indexed="64"/>
      </bottom>
      <diagonal/>
    </border>
    <border>
      <left style="thin">
        <color indexed="64"/>
      </left>
      <right style="hair">
        <color indexed="64"/>
      </right>
      <top style="thin">
        <color indexed="64"/>
      </top>
      <bottom style="dotted">
        <color indexed="64"/>
      </bottom>
      <diagonal/>
    </border>
    <border>
      <left style="hair">
        <color indexed="64"/>
      </left>
      <right style="hair">
        <color indexed="64"/>
      </right>
      <top style="thin">
        <color auto="1"/>
      </top>
      <bottom style="thin">
        <color auto="1"/>
      </bottom>
      <diagonal/>
    </border>
    <border>
      <left style="hair">
        <color indexed="64"/>
      </left>
      <right style="hair">
        <color indexed="64"/>
      </right>
      <top style="thin">
        <color auto="1"/>
      </top>
      <bottom/>
      <diagonal/>
    </border>
    <border>
      <left style="hair">
        <color indexed="64"/>
      </left>
      <right style="hair">
        <color indexed="64"/>
      </right>
      <top/>
      <bottom/>
      <diagonal/>
    </border>
    <border>
      <left style="hair">
        <color indexed="64"/>
      </left>
      <right style="hair">
        <color indexed="64"/>
      </right>
      <top style="dotted">
        <color indexed="64"/>
      </top>
      <bottom/>
      <diagonal/>
    </border>
    <border>
      <left style="hair">
        <color indexed="64"/>
      </left>
      <right style="hair">
        <color indexed="64"/>
      </right>
      <top style="hair">
        <color indexed="64"/>
      </top>
      <bottom/>
      <diagonal/>
    </border>
    <border>
      <left style="hair">
        <color indexed="64"/>
      </left>
      <right style="hair">
        <color indexed="64"/>
      </right>
      <top style="thin">
        <color auto="1"/>
      </top>
      <bottom style="dotted">
        <color indexed="64"/>
      </bottom>
      <diagonal/>
    </border>
    <border>
      <left style="hair">
        <color indexed="64"/>
      </left>
      <right style="hair">
        <color indexed="64"/>
      </right>
      <top style="hair">
        <color indexed="64"/>
      </top>
      <bottom style="thin">
        <color auto="1"/>
      </bottom>
      <diagonal/>
    </border>
    <border>
      <left/>
      <right style="thin">
        <color indexed="64"/>
      </right>
      <top style="dotted">
        <color indexed="64"/>
      </top>
      <bottom style="hair">
        <color indexed="64"/>
      </bottom>
      <diagonal/>
    </border>
    <border>
      <left style="thin">
        <color indexed="64"/>
      </left>
      <right style="thin">
        <color indexed="64"/>
      </right>
      <top/>
      <bottom style="double">
        <color indexed="64"/>
      </bottom>
      <diagonal/>
    </border>
    <border>
      <left style="thin">
        <color indexed="64"/>
      </left>
      <right/>
      <top/>
      <bottom style="double">
        <color indexed="64"/>
      </bottom>
      <diagonal/>
    </border>
    <border>
      <left style="thin">
        <color indexed="64"/>
      </left>
      <right style="thin">
        <color indexed="64"/>
      </right>
      <top style="thin">
        <color auto="1"/>
      </top>
      <bottom style="double">
        <color indexed="64"/>
      </bottom>
      <diagonal/>
    </border>
    <border>
      <left style="thin">
        <color indexed="64"/>
      </left>
      <right style="thin">
        <color indexed="64"/>
      </right>
      <top style="double">
        <color indexed="64"/>
      </top>
      <bottom/>
      <diagonal/>
    </border>
    <border>
      <left style="thin">
        <color indexed="64"/>
      </left>
      <right style="thin">
        <color indexed="64"/>
      </right>
      <top style="double">
        <color indexed="64"/>
      </top>
      <bottom style="thin">
        <color indexed="64"/>
      </bottom>
      <diagonal/>
    </border>
    <border>
      <left/>
      <right/>
      <top/>
      <bottom style="double">
        <color indexed="64"/>
      </bottom>
      <diagonal/>
    </border>
    <border>
      <left/>
      <right style="hair">
        <color indexed="64"/>
      </right>
      <top/>
      <bottom style="double">
        <color indexed="64"/>
      </bottom>
      <diagonal/>
    </border>
    <border>
      <left style="hair">
        <color indexed="64"/>
      </left>
      <right/>
      <top/>
      <bottom style="double">
        <color indexed="64"/>
      </bottom>
      <diagonal/>
    </border>
    <border>
      <left/>
      <right style="thin">
        <color indexed="64"/>
      </right>
      <top/>
      <bottom style="double">
        <color indexed="64"/>
      </bottom>
      <diagonal/>
    </border>
    <border>
      <left style="thin">
        <color auto="1"/>
      </left>
      <right/>
      <top style="double">
        <color indexed="64"/>
      </top>
      <bottom/>
      <diagonal/>
    </border>
    <border>
      <left/>
      <right/>
      <top style="double">
        <color indexed="64"/>
      </top>
      <bottom/>
      <diagonal/>
    </border>
    <border>
      <left/>
      <right style="hair">
        <color indexed="64"/>
      </right>
      <top style="double">
        <color indexed="64"/>
      </top>
      <bottom/>
      <diagonal/>
    </border>
    <border>
      <left style="hair">
        <color indexed="64"/>
      </left>
      <right/>
      <top style="double">
        <color indexed="64"/>
      </top>
      <bottom/>
      <diagonal/>
    </border>
    <border>
      <left/>
      <right style="thin">
        <color indexed="64"/>
      </right>
      <top style="double">
        <color indexed="64"/>
      </top>
      <bottom/>
      <diagonal/>
    </border>
    <border>
      <left style="thin">
        <color auto="1"/>
      </left>
      <right style="thin">
        <color rgb="FFD0B71E"/>
      </right>
      <top style="thin">
        <color auto="1"/>
      </top>
      <bottom style="thin">
        <color auto="1"/>
      </bottom>
      <diagonal/>
    </border>
    <border>
      <left/>
      <right style="thick">
        <color rgb="FFD0B71E"/>
      </right>
      <top style="thin">
        <color auto="1"/>
      </top>
      <bottom style="thin">
        <color auto="1"/>
      </bottom>
      <diagonal/>
    </border>
    <border>
      <left style="thin">
        <color auto="1"/>
      </left>
      <right style="thick">
        <color rgb="FFD0B71E"/>
      </right>
      <top style="thin">
        <color auto="1"/>
      </top>
      <bottom style="thin">
        <color auto="1"/>
      </bottom>
      <diagonal/>
    </border>
    <border>
      <left/>
      <right style="thick">
        <color rgb="FFD0B71E"/>
      </right>
      <top/>
      <bottom style="thin">
        <color auto="1"/>
      </bottom>
      <diagonal/>
    </border>
    <border>
      <left style="thin">
        <color auto="1"/>
      </left>
      <right style="thick">
        <color rgb="FFD0B71E"/>
      </right>
      <top style="thin">
        <color auto="1"/>
      </top>
      <bottom/>
      <diagonal/>
    </border>
    <border>
      <left style="thin">
        <color auto="1"/>
      </left>
      <right style="thick">
        <color rgb="FFD0B71E"/>
      </right>
      <top/>
      <bottom style="thin">
        <color auto="1"/>
      </bottom>
      <diagonal/>
    </border>
    <border>
      <left style="thick">
        <color rgb="FFD0B71E"/>
      </left>
      <right style="thick">
        <color rgb="FFD0B71E"/>
      </right>
      <top style="thin">
        <color auto="1"/>
      </top>
      <bottom style="thin">
        <color auto="1"/>
      </bottom>
      <diagonal/>
    </border>
    <border>
      <left/>
      <right style="thick">
        <color rgb="FFD0B71E"/>
      </right>
      <top/>
      <bottom/>
      <diagonal/>
    </border>
    <border>
      <left style="thin">
        <color rgb="FFD0B71E"/>
      </left>
      <right style="thick">
        <color rgb="FFD0B71E"/>
      </right>
      <top style="thin">
        <color auto="1"/>
      </top>
      <bottom style="thick">
        <color rgb="FFD0B71E"/>
      </bottom>
      <diagonal/>
    </border>
    <border>
      <left style="thin">
        <color indexed="64"/>
      </left>
      <right/>
      <top style="dotted">
        <color indexed="64"/>
      </top>
      <bottom style="hair">
        <color indexed="64"/>
      </bottom>
      <diagonal/>
    </border>
    <border>
      <left style="thin">
        <color indexed="64"/>
      </left>
      <right/>
      <top style="dotted">
        <color indexed="64"/>
      </top>
      <bottom/>
      <diagonal/>
    </border>
    <border>
      <left style="thin">
        <color indexed="64"/>
      </left>
      <right/>
      <top style="thin">
        <color indexed="64"/>
      </top>
      <bottom style="hair">
        <color indexed="64"/>
      </bottom>
      <diagonal/>
    </border>
    <border>
      <left style="thin">
        <color indexed="64"/>
      </left>
      <right/>
      <top style="dotted">
        <color indexed="64"/>
      </top>
      <bottom style="thin">
        <color auto="1"/>
      </bottom>
      <diagonal/>
    </border>
    <border>
      <left style="thick">
        <color rgb="FFD0B71E"/>
      </left>
      <right style="thick">
        <color rgb="FFD0B71E"/>
      </right>
      <top style="thick">
        <color rgb="FFD0B71E"/>
      </top>
      <bottom style="thin">
        <color indexed="64"/>
      </bottom>
      <diagonal/>
    </border>
    <border>
      <left style="thick">
        <color rgb="FFD0B71E"/>
      </left>
      <right style="thick">
        <color rgb="FFD0B71E"/>
      </right>
      <top style="thin">
        <color auto="1"/>
      </top>
      <bottom style="thick">
        <color rgb="FFD0B71E"/>
      </bottom>
      <diagonal/>
    </border>
    <border>
      <left style="thick">
        <color rgb="FFD0B71E"/>
      </left>
      <right style="thick">
        <color rgb="FFD0B71E"/>
      </right>
      <top style="thick">
        <color rgb="FFD0B71E"/>
      </top>
      <bottom/>
      <diagonal/>
    </border>
    <border>
      <left style="thick">
        <color rgb="FFD0B71E"/>
      </left>
      <right style="thick">
        <color rgb="FFD0B71E"/>
      </right>
      <top/>
      <bottom style="thick">
        <color rgb="FFD0B71E"/>
      </bottom>
      <diagonal/>
    </border>
    <border>
      <left style="thin">
        <color auto="1"/>
      </left>
      <right style="thick">
        <color rgb="FFD0B71E"/>
      </right>
      <top/>
      <bottom/>
      <diagonal/>
    </border>
    <border>
      <left/>
      <right style="thin">
        <color theme="1"/>
      </right>
      <top style="thin">
        <color theme="1"/>
      </top>
      <bottom/>
      <diagonal/>
    </border>
    <border>
      <left style="thin">
        <color theme="1"/>
      </left>
      <right style="hair">
        <color indexed="64"/>
      </right>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hair">
        <color indexed="64"/>
      </left>
      <right style="thin">
        <color theme="1"/>
      </right>
      <top style="thin">
        <color theme="1"/>
      </top>
      <bottom style="thin">
        <color theme="1"/>
      </bottom>
      <diagonal/>
    </border>
    <border>
      <left/>
      <right style="thin">
        <color theme="1"/>
      </right>
      <top/>
      <bottom/>
      <diagonal/>
    </border>
    <border>
      <left style="thin">
        <color indexed="64"/>
      </left>
      <right style="thin">
        <color indexed="64"/>
      </right>
      <top/>
      <bottom style="double">
        <color theme="1"/>
      </bottom>
      <diagonal/>
    </border>
    <border>
      <left style="thin">
        <color auto="1"/>
      </left>
      <right style="thin">
        <color auto="1"/>
      </right>
      <top style="thin">
        <color auto="1"/>
      </top>
      <bottom style="double">
        <color theme="1"/>
      </bottom>
      <diagonal/>
    </border>
    <border>
      <left style="thin">
        <color auto="1"/>
      </left>
      <right/>
      <top/>
      <bottom style="double">
        <color theme="1"/>
      </bottom>
      <diagonal/>
    </border>
    <border>
      <left/>
      <right/>
      <top/>
      <bottom style="double">
        <color theme="1"/>
      </bottom>
      <diagonal/>
    </border>
    <border>
      <left/>
      <right style="hair">
        <color indexed="64"/>
      </right>
      <top/>
      <bottom style="double">
        <color theme="1"/>
      </bottom>
      <diagonal/>
    </border>
    <border>
      <left style="hair">
        <color indexed="64"/>
      </left>
      <right/>
      <top/>
      <bottom style="double">
        <color theme="1"/>
      </bottom>
      <diagonal/>
    </border>
    <border>
      <left/>
      <right style="thin">
        <color indexed="64"/>
      </right>
      <top/>
      <bottom style="double">
        <color theme="1"/>
      </bottom>
      <diagonal/>
    </border>
    <border>
      <left style="medium">
        <color indexed="64"/>
      </left>
      <right/>
      <top style="medium">
        <color indexed="64"/>
      </top>
      <bottom/>
      <diagonal/>
    </border>
    <border>
      <left style="thin">
        <color indexed="64"/>
      </left>
      <right style="thin">
        <color indexed="64"/>
      </right>
      <top style="medium">
        <color indexed="64"/>
      </top>
      <bottom/>
      <diagonal/>
    </border>
    <border>
      <left style="thin">
        <color auto="1"/>
      </left>
      <right style="thin">
        <color auto="1"/>
      </right>
      <top style="medium">
        <color indexed="64"/>
      </top>
      <bottom style="thin">
        <color auto="1"/>
      </bottom>
      <diagonal/>
    </border>
    <border>
      <left style="hair">
        <color indexed="64"/>
      </left>
      <right/>
      <top style="medium">
        <color indexed="64"/>
      </top>
      <bottom/>
      <diagonal/>
    </border>
    <border>
      <left/>
      <right/>
      <top style="medium">
        <color indexed="64"/>
      </top>
      <bottom/>
      <diagonal/>
    </border>
    <border>
      <left/>
      <right style="hair">
        <color indexed="64"/>
      </right>
      <top style="medium">
        <color indexed="64"/>
      </top>
      <bottom/>
      <diagonal/>
    </border>
    <border>
      <left/>
      <right style="thin">
        <color indexed="64"/>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double">
        <color indexed="64"/>
      </bottom>
      <diagonal/>
    </border>
    <border>
      <left style="medium">
        <color indexed="64"/>
      </left>
      <right style="thin">
        <color indexed="64"/>
      </right>
      <top style="double">
        <color indexed="64"/>
      </top>
      <bottom/>
      <diagonal/>
    </border>
    <border>
      <left style="medium">
        <color indexed="64"/>
      </left>
      <right style="thin">
        <color indexed="64"/>
      </right>
      <top/>
      <bottom/>
      <diagonal/>
    </border>
    <border>
      <left style="medium">
        <color indexed="64"/>
      </left>
      <right style="thin">
        <color indexed="64"/>
      </right>
      <top/>
      <bottom style="double">
        <color indexed="64"/>
      </bottom>
      <diagonal/>
    </border>
    <border>
      <left style="medium">
        <color indexed="64"/>
      </left>
      <right style="thin">
        <color indexed="64"/>
      </right>
      <top/>
      <bottom style="double">
        <color theme="1"/>
      </bottom>
      <diagonal/>
    </border>
    <border>
      <left style="medium">
        <color indexed="64"/>
      </left>
      <right style="thin">
        <color indexed="64"/>
      </right>
      <top/>
      <bottom style="medium">
        <color indexed="64"/>
      </bottom>
      <diagonal/>
    </border>
    <border>
      <left/>
      <right style="thin">
        <color indexed="64"/>
      </right>
      <top/>
      <bottom style="medium">
        <color indexed="64"/>
      </bottom>
      <diagonal/>
    </border>
    <border>
      <left/>
      <right/>
      <top/>
      <bottom style="medium">
        <color indexed="64"/>
      </bottom>
      <diagonal/>
    </border>
    <border>
      <left style="thin">
        <color indexed="64"/>
      </left>
      <right style="thin">
        <color indexed="64"/>
      </right>
      <top style="thin">
        <color auto="1"/>
      </top>
      <bottom style="medium">
        <color indexed="64"/>
      </bottom>
      <diagonal/>
    </border>
    <border>
      <left style="thin">
        <color indexed="64"/>
      </left>
      <right style="thin">
        <color indexed="64"/>
      </right>
      <top/>
      <bottom style="medium">
        <color indexed="64"/>
      </bottom>
      <diagonal/>
    </border>
    <border>
      <left/>
      <right style="medium">
        <color indexed="64"/>
      </right>
      <top/>
      <bottom style="medium">
        <color indexed="64"/>
      </bottom>
      <diagonal/>
    </border>
    <border>
      <left style="thin">
        <color auto="1"/>
      </left>
      <right/>
      <top/>
      <bottom style="medium">
        <color indexed="64"/>
      </bottom>
      <diagonal/>
    </border>
    <border>
      <left/>
      <right style="hair">
        <color indexed="64"/>
      </right>
      <top/>
      <bottom style="medium">
        <color indexed="64"/>
      </bottom>
      <diagonal/>
    </border>
    <border>
      <left style="hair">
        <color indexed="64"/>
      </left>
      <right/>
      <top/>
      <bottom style="medium">
        <color indexed="64"/>
      </bottom>
      <diagonal/>
    </border>
    <border>
      <left style="thin">
        <color auto="1"/>
      </left>
      <right/>
      <top style="medium">
        <color indexed="64"/>
      </top>
      <bottom style="thin">
        <color auto="1"/>
      </bottom>
      <diagonal/>
    </border>
    <border>
      <left style="thin">
        <color indexed="64"/>
      </left>
      <right/>
      <top style="thin">
        <color auto="1"/>
      </top>
      <bottom style="double">
        <color indexed="64"/>
      </bottom>
      <diagonal/>
    </border>
    <border>
      <left style="thin">
        <color indexed="64"/>
      </left>
      <right/>
      <top style="double">
        <color indexed="64"/>
      </top>
      <bottom style="thin">
        <color indexed="64"/>
      </bottom>
      <diagonal/>
    </border>
    <border>
      <left style="thin">
        <color auto="1"/>
      </left>
      <right/>
      <top style="thin">
        <color auto="1"/>
      </top>
      <bottom style="double">
        <color theme="1"/>
      </bottom>
      <diagonal/>
    </border>
    <border>
      <left style="thin">
        <color indexed="64"/>
      </left>
      <right/>
      <top style="thin">
        <color auto="1"/>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s>
  <cellStyleXfs count="3">
    <xf numFmtId="0" fontId="0" fillId="0" borderId="0"/>
    <xf numFmtId="0" fontId="34" fillId="0" borderId="0"/>
    <xf numFmtId="0" fontId="35" fillId="20" borderId="0" applyNumberFormat="0" applyBorder="0" applyAlignment="0" applyProtection="0"/>
  </cellStyleXfs>
  <cellXfs count="550">
    <xf numFmtId="0" fontId="0" fillId="0" borderId="0" xfId="0"/>
    <xf numFmtId="0" fontId="2" fillId="0" borderId="0" xfId="0" applyFont="1" applyAlignment="1">
      <alignment vertical="top"/>
    </xf>
    <xf numFmtId="0" fontId="3" fillId="0" borderId="0" xfId="0" applyFont="1" applyAlignment="1">
      <alignment vertical="top"/>
    </xf>
    <xf numFmtId="0" fontId="2" fillId="0" borderId="0" xfId="0" applyFont="1" applyAlignment="1">
      <alignment vertical="top" wrapText="1"/>
    </xf>
    <xf numFmtId="0" fontId="4" fillId="0" borderId="0" xfId="0" applyFont="1" applyAlignment="1">
      <alignment vertical="top"/>
    </xf>
    <xf numFmtId="0" fontId="4" fillId="0" borderId="0" xfId="0" applyFont="1" applyAlignment="1">
      <alignment horizontal="left" vertical="top"/>
    </xf>
    <xf numFmtId="0" fontId="5" fillId="0" borderId="0" xfId="0" applyFont="1" applyAlignment="1">
      <alignment vertical="top" wrapText="1"/>
    </xf>
    <xf numFmtId="0" fontId="3" fillId="0" borderId="0" xfId="0" applyFont="1" applyAlignment="1">
      <alignment vertical="center"/>
    </xf>
    <xf numFmtId="0" fontId="0" fillId="0" borderId="0" xfId="0" applyAlignment="1">
      <alignment wrapText="1"/>
    </xf>
    <xf numFmtId="0" fontId="0" fillId="0" borderId="1" xfId="0" applyBorder="1"/>
    <xf numFmtId="0" fontId="0" fillId="0" borderId="1" xfId="0" applyBorder="1" applyAlignment="1">
      <alignment wrapText="1"/>
    </xf>
    <xf numFmtId="0" fontId="0" fillId="0" borderId="7" xfId="0" applyBorder="1"/>
    <xf numFmtId="0" fontId="0" fillId="6" borderId="8" xfId="0" applyFill="1" applyBorder="1"/>
    <xf numFmtId="0" fontId="0" fillId="0" borderId="9" xfId="0" applyBorder="1"/>
    <xf numFmtId="0" fontId="0" fillId="0" borderId="10" xfId="0" applyBorder="1"/>
    <xf numFmtId="0" fontId="0" fillId="0" borderId="9" xfId="0" applyBorder="1" applyAlignment="1">
      <alignment wrapText="1"/>
    </xf>
    <xf numFmtId="0" fontId="8" fillId="0" borderId="10" xfId="0" applyFont="1" applyBorder="1" applyAlignment="1">
      <alignment wrapText="1"/>
    </xf>
    <xf numFmtId="0" fontId="0" fillId="6" borderId="4" xfId="0" applyFill="1" applyBorder="1"/>
    <xf numFmtId="0" fontId="0" fillId="0" borderId="4" xfId="0" applyBorder="1"/>
    <xf numFmtId="0" fontId="0" fillId="6" borderId="7" xfId="0" applyFill="1" applyBorder="1"/>
    <xf numFmtId="0" fontId="8" fillId="0" borderId="12" xfId="0" applyFont="1" applyBorder="1" applyAlignment="1">
      <alignment wrapText="1"/>
    </xf>
    <xf numFmtId="0" fontId="8" fillId="0" borderId="14" xfId="0" applyFont="1" applyBorder="1" applyAlignment="1">
      <alignment wrapText="1"/>
    </xf>
    <xf numFmtId="0" fontId="8" fillId="0" borderId="16" xfId="0" applyFont="1" applyBorder="1" applyAlignment="1">
      <alignment wrapText="1"/>
    </xf>
    <xf numFmtId="0" fontId="0" fillId="0" borderId="12" xfId="0" applyBorder="1" applyAlignment="1">
      <alignment wrapText="1"/>
    </xf>
    <xf numFmtId="0" fontId="0" fillId="6" borderId="13" xfId="0" applyFill="1" applyBorder="1"/>
    <xf numFmtId="0" fontId="0" fillId="6" borderId="17" xfId="0" applyFill="1" applyBorder="1"/>
    <xf numFmtId="0" fontId="8" fillId="0" borderId="18" xfId="0" applyFont="1" applyBorder="1" applyAlignment="1">
      <alignment wrapText="1"/>
    </xf>
    <xf numFmtId="0" fontId="0" fillId="6" borderId="19" xfId="0" applyFill="1" applyBorder="1"/>
    <xf numFmtId="0" fontId="8" fillId="0" borderId="20" xfId="0" applyFont="1" applyBorder="1" applyAlignment="1">
      <alignment wrapText="1"/>
    </xf>
    <xf numFmtId="0" fontId="0" fillId="6" borderId="21" xfId="0" applyFill="1" applyBorder="1"/>
    <xf numFmtId="0" fontId="8" fillId="0" borderId="22" xfId="0" applyFont="1" applyBorder="1" applyAlignment="1">
      <alignment wrapText="1"/>
    </xf>
    <xf numFmtId="0" fontId="0" fillId="6" borderId="23" xfId="0" applyFill="1" applyBorder="1"/>
    <xf numFmtId="0" fontId="8" fillId="0" borderId="24" xfId="0" applyFont="1" applyBorder="1" applyAlignment="1">
      <alignment wrapText="1"/>
    </xf>
    <xf numFmtId="0" fontId="0" fillId="6" borderId="25" xfId="0" applyFill="1" applyBorder="1"/>
    <xf numFmtId="0" fontId="0" fillId="6" borderId="5" xfId="0" applyFill="1" applyBorder="1" applyAlignment="1">
      <alignment wrapText="1"/>
    </xf>
    <xf numFmtId="0" fontId="0" fillId="6" borderId="5" xfId="0" applyFill="1" applyBorder="1"/>
    <xf numFmtId="0" fontId="0" fillId="6" borderId="26" xfId="0" applyFill="1" applyBorder="1"/>
    <xf numFmtId="0" fontId="0" fillId="6" borderId="27" xfId="0" applyFill="1" applyBorder="1"/>
    <xf numFmtId="0" fontId="0" fillId="6" borderId="28" xfId="0" applyFill="1" applyBorder="1"/>
    <xf numFmtId="0" fontId="0" fillId="6" borderId="29" xfId="0" applyFill="1" applyBorder="1"/>
    <xf numFmtId="0" fontId="0" fillId="6" borderId="30" xfId="0" applyFill="1" applyBorder="1"/>
    <xf numFmtId="0" fontId="0" fillId="6" borderId="31" xfId="0" applyFill="1" applyBorder="1"/>
    <xf numFmtId="0" fontId="0" fillId="6" borderId="32" xfId="0" applyFill="1" applyBorder="1"/>
    <xf numFmtId="0" fontId="0" fillId="6" borderId="33" xfId="0" applyFill="1" applyBorder="1"/>
    <xf numFmtId="0" fontId="1" fillId="0" borderId="0" xfId="0" applyFont="1"/>
    <xf numFmtId="0" fontId="0" fillId="0" borderId="36" xfId="0" applyBorder="1" applyAlignment="1">
      <alignment wrapText="1"/>
    </xf>
    <xf numFmtId="0" fontId="10" fillId="0" borderId="0" xfId="0" applyFont="1" applyAlignment="1">
      <alignment vertical="top"/>
    </xf>
    <xf numFmtId="0" fontId="10" fillId="0" borderId="0" xfId="0" applyFont="1" applyAlignment="1">
      <alignment vertical="center"/>
    </xf>
    <xf numFmtId="0" fontId="7" fillId="2" borderId="46" xfId="0" applyFont="1" applyFill="1" applyBorder="1" applyAlignment="1">
      <alignment horizontal="center" vertical="center" textRotation="90" wrapText="1"/>
    </xf>
    <xf numFmtId="0" fontId="7" fillId="2" borderId="43" xfId="0" applyFont="1" applyFill="1" applyBorder="1" applyAlignment="1">
      <alignment horizontal="center" vertical="center" textRotation="90" wrapText="1"/>
    </xf>
    <xf numFmtId="0" fontId="7" fillId="2" borderId="44" xfId="0" applyFont="1" applyFill="1" applyBorder="1" applyAlignment="1">
      <alignment horizontal="center" vertical="center" textRotation="90" wrapText="1"/>
    </xf>
    <xf numFmtId="0" fontId="0" fillId="0" borderId="0" xfId="0" applyAlignment="1">
      <alignment horizontal="center" vertical="center"/>
    </xf>
    <xf numFmtId="0" fontId="2" fillId="0" borderId="0" xfId="0" applyFont="1" applyAlignment="1">
      <alignment horizontal="center" vertical="center"/>
    </xf>
    <xf numFmtId="0" fontId="4" fillId="0" borderId="0" xfId="0" applyFont="1" applyAlignment="1">
      <alignment horizontal="center" vertical="center"/>
    </xf>
    <xf numFmtId="0" fontId="0" fillId="0" borderId="48" xfId="0" applyBorder="1"/>
    <xf numFmtId="0" fontId="0" fillId="0" borderId="39" xfId="0" applyBorder="1"/>
    <xf numFmtId="0" fontId="0" fillId="0" borderId="54" xfId="0" applyBorder="1" applyAlignment="1">
      <alignment horizontal="center" vertical="center"/>
    </xf>
    <xf numFmtId="0" fontId="0" fillId="0" borderId="39" xfId="0" applyBorder="1" applyAlignment="1">
      <alignment horizontal="center" vertical="center"/>
    </xf>
    <xf numFmtId="0" fontId="0" fillId="0" borderId="51" xfId="0" applyBorder="1" applyAlignment="1">
      <alignment horizontal="center" vertical="center"/>
    </xf>
    <xf numFmtId="0" fontId="0" fillId="0" borderId="7" xfId="0" applyBorder="1" applyAlignment="1">
      <alignment horizontal="center" vertical="center"/>
    </xf>
    <xf numFmtId="0" fontId="0" fillId="0" borderId="6" xfId="0" applyBorder="1" applyAlignment="1">
      <alignment horizontal="center" vertical="center"/>
    </xf>
    <xf numFmtId="0" fontId="0" fillId="0" borderId="3" xfId="0" applyBorder="1" applyAlignment="1">
      <alignment horizontal="center" vertical="center"/>
    </xf>
    <xf numFmtId="0" fontId="0" fillId="0" borderId="35" xfId="0" applyBorder="1" applyAlignment="1">
      <alignment horizontal="center" vertical="center"/>
    </xf>
    <xf numFmtId="0" fontId="0" fillId="0" borderId="4" xfId="0" applyBorder="1" applyAlignment="1">
      <alignment horizontal="center" vertical="center"/>
    </xf>
    <xf numFmtId="0" fontId="0" fillId="0" borderId="37" xfId="0" applyBorder="1"/>
    <xf numFmtId="0" fontId="7" fillId="2" borderId="55" xfId="0" applyFont="1" applyFill="1" applyBorder="1" applyAlignment="1">
      <alignment horizontal="center" vertical="center" textRotation="90" wrapText="1"/>
    </xf>
    <xf numFmtId="0" fontId="2" fillId="0" borderId="37" xfId="0" applyFont="1" applyBorder="1" applyAlignment="1">
      <alignment vertical="top"/>
    </xf>
    <xf numFmtId="0" fontId="12" fillId="0" borderId="39" xfId="0" applyFont="1" applyBorder="1" applyAlignment="1">
      <alignment vertical="top"/>
    </xf>
    <xf numFmtId="0" fontId="2" fillId="0" borderId="39" xfId="0" applyFont="1" applyBorder="1" applyAlignment="1">
      <alignment vertical="top"/>
    </xf>
    <xf numFmtId="0" fontId="2" fillId="0" borderId="7" xfId="0" applyFont="1" applyBorder="1" applyAlignment="1">
      <alignment vertical="top"/>
    </xf>
    <xf numFmtId="0" fontId="2" fillId="0" borderId="48" xfId="0" applyFont="1" applyBorder="1" applyAlignment="1">
      <alignment vertical="top"/>
    </xf>
    <xf numFmtId="0" fontId="2" fillId="0" borderId="8" xfId="0" applyFont="1" applyBorder="1" applyAlignment="1">
      <alignment vertical="top"/>
    </xf>
    <xf numFmtId="0" fontId="4" fillId="0" borderId="48" xfId="0" applyFont="1" applyBorder="1" applyAlignment="1">
      <alignment vertical="top"/>
    </xf>
    <xf numFmtId="0" fontId="4" fillId="0" borderId="8" xfId="0" applyFont="1" applyBorder="1" applyAlignment="1">
      <alignment vertical="top"/>
    </xf>
    <xf numFmtId="0" fontId="7" fillId="2" borderId="1" xfId="0" applyFont="1" applyFill="1" applyBorder="1" applyAlignment="1">
      <alignment horizontal="center" textRotation="90" wrapText="1"/>
    </xf>
    <xf numFmtId="0" fontId="2" fillId="8" borderId="1" xfId="0" applyFont="1" applyFill="1" applyBorder="1" applyAlignment="1">
      <alignment vertical="top" wrapText="1"/>
    </xf>
    <xf numFmtId="0" fontId="2" fillId="8" borderId="1" xfId="0" applyFont="1" applyFill="1" applyBorder="1" applyAlignment="1">
      <alignment horizontal="center" vertical="center" wrapText="1"/>
    </xf>
    <xf numFmtId="0" fontId="2" fillId="9" borderId="1" xfId="0" applyFont="1" applyFill="1" applyBorder="1" applyAlignment="1">
      <alignment vertical="top" wrapText="1"/>
    </xf>
    <xf numFmtId="0" fontId="2" fillId="9" borderId="1" xfId="0" applyFont="1" applyFill="1" applyBorder="1" applyAlignment="1">
      <alignment horizontal="center" vertical="center" wrapText="1"/>
    </xf>
    <xf numFmtId="0" fontId="2" fillId="10" borderId="1" xfId="0" applyFont="1" applyFill="1" applyBorder="1" applyAlignment="1">
      <alignment vertical="top" wrapText="1"/>
    </xf>
    <xf numFmtId="0" fontId="2" fillId="10" borderId="1" xfId="0" applyFont="1" applyFill="1" applyBorder="1" applyAlignment="1">
      <alignment horizontal="center" vertical="center" wrapText="1"/>
    </xf>
    <xf numFmtId="0" fontId="2" fillId="11" borderId="1" xfId="0" applyFont="1" applyFill="1" applyBorder="1" applyAlignment="1">
      <alignment vertical="top" wrapText="1"/>
    </xf>
    <xf numFmtId="0" fontId="2" fillId="11" borderId="1" xfId="0" applyFont="1" applyFill="1" applyBorder="1" applyAlignment="1">
      <alignment horizontal="center" vertical="center" wrapText="1"/>
    </xf>
    <xf numFmtId="0" fontId="2" fillId="0" borderId="38" xfId="0" applyFont="1" applyBorder="1" applyAlignment="1">
      <alignment vertical="top"/>
    </xf>
    <xf numFmtId="0" fontId="2" fillId="0" borderId="40" xfId="0" applyFont="1" applyBorder="1" applyAlignment="1">
      <alignment vertical="top"/>
    </xf>
    <xf numFmtId="0" fontId="2" fillId="0" borderId="41" xfId="0" applyFont="1" applyBorder="1" applyAlignment="1">
      <alignment vertical="top"/>
    </xf>
    <xf numFmtId="0" fontId="2" fillId="0" borderId="1" xfId="0" applyFont="1" applyBorder="1" applyAlignment="1">
      <alignment horizontal="center" vertical="center"/>
    </xf>
    <xf numFmtId="0" fontId="2" fillId="0" borderId="1" xfId="0" applyFont="1" applyBorder="1"/>
    <xf numFmtId="0" fontId="0" fillId="0" borderId="8" xfId="0" applyBorder="1"/>
    <xf numFmtId="0" fontId="0" fillId="0" borderId="56" xfId="0" applyBorder="1" applyAlignment="1">
      <alignment wrapText="1"/>
    </xf>
    <xf numFmtId="0" fontId="0" fillId="0" borderId="16" xfId="0" applyBorder="1" applyAlignment="1">
      <alignment wrapText="1"/>
    </xf>
    <xf numFmtId="0" fontId="0" fillId="0" borderId="0" xfId="0" applyAlignment="1">
      <alignment horizontal="center"/>
    </xf>
    <xf numFmtId="0" fontId="0" fillId="0" borderId="39" xfId="0" applyBorder="1" applyAlignment="1">
      <alignment horizontal="center"/>
    </xf>
    <xf numFmtId="0" fontId="16" fillId="12" borderId="1" xfId="0" applyFont="1" applyFill="1" applyBorder="1" applyAlignment="1">
      <alignment horizontal="center"/>
    </xf>
    <xf numFmtId="0" fontId="16" fillId="13" borderId="1" xfId="0" applyFont="1" applyFill="1" applyBorder="1" applyAlignment="1">
      <alignment horizontal="center"/>
    </xf>
    <xf numFmtId="0" fontId="16" fillId="14" borderId="1" xfId="0" applyFont="1" applyFill="1" applyBorder="1" applyAlignment="1">
      <alignment horizontal="center"/>
    </xf>
    <xf numFmtId="0" fontId="16" fillId="6" borderId="1" xfId="0" applyFont="1" applyFill="1" applyBorder="1" applyAlignment="1">
      <alignment horizontal="center"/>
    </xf>
    <xf numFmtId="0" fontId="16" fillId="15" borderId="1" xfId="0" applyFont="1" applyFill="1" applyBorder="1" applyAlignment="1">
      <alignment horizontal="center"/>
    </xf>
    <xf numFmtId="0" fontId="16" fillId="16" borderId="1" xfId="0" applyFont="1" applyFill="1" applyBorder="1" applyAlignment="1">
      <alignment horizontal="center"/>
    </xf>
    <xf numFmtId="0" fontId="2" fillId="0" borderId="0" xfId="0" applyFont="1"/>
    <xf numFmtId="0" fontId="14" fillId="2" borderId="7" xfId="0" applyFont="1" applyFill="1" applyBorder="1" applyAlignment="1">
      <alignment horizontal="center" vertical="center"/>
    </xf>
    <xf numFmtId="0" fontId="7" fillId="2" borderId="11" xfId="0" applyFont="1" applyFill="1" applyBorder="1" applyAlignment="1">
      <alignment horizontal="center" textRotation="90" wrapText="1"/>
    </xf>
    <xf numFmtId="0" fontId="2" fillId="16" borderId="1" xfId="0" applyFont="1" applyFill="1" applyBorder="1" applyAlignment="1">
      <alignment horizontal="center" vertical="center" wrapText="1"/>
    </xf>
    <xf numFmtId="164" fontId="2" fillId="16" borderId="1" xfId="0" applyNumberFormat="1" applyFont="1" applyFill="1" applyBorder="1" applyAlignment="1">
      <alignment horizontal="center" vertical="center" wrapText="1"/>
    </xf>
    <xf numFmtId="2" fontId="0" fillId="0" borderId="0" xfId="0" applyNumberFormat="1"/>
    <xf numFmtId="0" fontId="19" fillId="0" borderId="0" xfId="0" applyFont="1" applyAlignment="1">
      <alignment horizontal="center" vertical="center" wrapText="1"/>
    </xf>
    <xf numFmtId="0" fontId="19" fillId="0" borderId="50" xfId="0" applyFont="1" applyBorder="1" applyAlignment="1">
      <alignment horizontal="center" vertical="center" wrapText="1"/>
    </xf>
    <xf numFmtId="0" fontId="19" fillId="0" borderId="53" xfId="0" applyFont="1" applyBorder="1" applyAlignment="1">
      <alignment horizontal="center" vertical="center" wrapText="1"/>
    </xf>
    <xf numFmtId="0" fontId="19" fillId="0" borderId="8" xfId="0" applyFont="1" applyBorder="1" applyAlignment="1">
      <alignment horizontal="center" vertical="center" wrapText="1"/>
    </xf>
    <xf numFmtId="0" fontId="18" fillId="0" borderId="6" xfId="0" applyFont="1" applyBorder="1" applyAlignment="1">
      <alignment horizontal="center" vertical="center" wrapText="1"/>
    </xf>
    <xf numFmtId="0" fontId="18" fillId="0" borderId="3" xfId="0" applyFont="1" applyBorder="1" applyAlignment="1">
      <alignment horizontal="center" vertical="center" wrapText="1"/>
    </xf>
    <xf numFmtId="0" fontId="18" fillId="0" borderId="35" xfId="0" applyFont="1" applyBorder="1" applyAlignment="1">
      <alignment horizontal="center" vertical="center" wrapText="1"/>
    </xf>
    <xf numFmtId="0" fontId="18" fillId="0" borderId="4" xfId="0" applyFont="1" applyBorder="1" applyAlignment="1">
      <alignment horizontal="center" vertical="center" wrapText="1"/>
    </xf>
    <xf numFmtId="0" fontId="20" fillId="0" borderId="53" xfId="0" applyFont="1" applyBorder="1" applyAlignment="1">
      <alignment horizontal="center" vertical="center" wrapText="1"/>
    </xf>
    <xf numFmtId="0" fontId="20" fillId="0" borderId="0" xfId="0" applyFont="1" applyAlignment="1">
      <alignment horizontal="center" vertical="center" wrapText="1"/>
    </xf>
    <xf numFmtId="0" fontId="20" fillId="0" borderId="50" xfId="0" applyFont="1" applyBorder="1" applyAlignment="1">
      <alignment horizontal="center" vertical="center" wrapText="1"/>
    </xf>
    <xf numFmtId="0" fontId="20" fillId="0" borderId="8" xfId="0" applyFont="1" applyBorder="1" applyAlignment="1">
      <alignment horizontal="center" vertical="center" wrapText="1"/>
    </xf>
    <xf numFmtId="0" fontId="0" fillId="0" borderId="38" xfId="0" applyBorder="1"/>
    <xf numFmtId="0" fontId="0" fillId="0" borderId="40" xfId="0" applyBorder="1"/>
    <xf numFmtId="0" fontId="0" fillId="0" borderId="40" xfId="0" applyBorder="1" applyAlignment="1">
      <alignment horizontal="center"/>
    </xf>
    <xf numFmtId="0" fontId="0" fillId="0" borderId="41" xfId="0" applyBorder="1"/>
    <xf numFmtId="0" fontId="0" fillId="0" borderId="0" xfId="0" applyAlignment="1">
      <alignment vertical="center"/>
    </xf>
    <xf numFmtId="0" fontId="18" fillId="0" borderId="54" xfId="0" applyFont="1" applyBorder="1" applyAlignment="1">
      <alignment horizontal="center" vertical="center" wrapText="1"/>
    </xf>
    <xf numFmtId="0" fontId="18" fillId="0" borderId="39" xfId="0" applyFont="1" applyBorder="1" applyAlignment="1">
      <alignment horizontal="center" vertical="center" wrapText="1"/>
    </xf>
    <xf numFmtId="0" fontId="18" fillId="0" borderId="51" xfId="0" applyFont="1" applyBorder="1" applyAlignment="1">
      <alignment horizontal="center" vertical="center" wrapText="1"/>
    </xf>
    <xf numFmtId="0" fontId="18" fillId="0" borderId="7" xfId="0" applyFont="1" applyBorder="1" applyAlignment="1">
      <alignment horizontal="center" vertical="center" wrapText="1"/>
    </xf>
    <xf numFmtId="0" fontId="2" fillId="0" borderId="0" xfId="0" applyFont="1" applyAlignment="1">
      <alignment vertical="center"/>
    </xf>
    <xf numFmtId="0" fontId="4" fillId="0" borderId="0" xfId="0" applyFont="1" applyAlignment="1">
      <alignment horizontal="left" vertical="center"/>
    </xf>
    <xf numFmtId="0" fontId="4" fillId="0" borderId="0" xfId="0" applyFont="1" applyAlignment="1">
      <alignment vertical="center"/>
    </xf>
    <xf numFmtId="0" fontId="0" fillId="0" borderId="0" xfId="0" applyAlignment="1">
      <alignment horizontal="right" vertical="center" wrapText="1"/>
    </xf>
    <xf numFmtId="0" fontId="2" fillId="0" borderId="0" xfId="0" applyFont="1" applyAlignment="1">
      <alignment horizontal="right" vertical="center" wrapText="1"/>
    </xf>
    <xf numFmtId="0" fontId="5" fillId="0" borderId="0" xfId="0" applyFont="1" applyAlignment="1">
      <alignment horizontal="right" vertical="center" wrapText="1"/>
    </xf>
    <xf numFmtId="0" fontId="0" fillId="0" borderId="1" xfId="0" applyBorder="1" applyAlignment="1">
      <alignment horizontal="right" vertical="center"/>
    </xf>
    <xf numFmtId="0" fontId="0" fillId="0" borderId="60" xfId="0" applyBorder="1" applyAlignment="1">
      <alignment horizontal="right" vertical="center"/>
    </xf>
    <xf numFmtId="0" fontId="0" fillId="0" borderId="36" xfId="0" applyBorder="1" applyAlignment="1">
      <alignment horizontal="right" vertical="center"/>
    </xf>
    <xf numFmtId="0" fontId="0" fillId="0" borderId="58" xfId="0" applyBorder="1" applyAlignment="1">
      <alignment horizontal="right" vertical="center"/>
    </xf>
    <xf numFmtId="0" fontId="0" fillId="0" borderId="56" xfId="0" applyBorder="1" applyAlignment="1">
      <alignment horizontal="right" vertical="center"/>
    </xf>
    <xf numFmtId="0" fontId="0" fillId="0" borderId="0" xfId="0" applyAlignment="1">
      <alignment horizontal="right" vertical="center"/>
    </xf>
    <xf numFmtId="0" fontId="0" fillId="0" borderId="0" xfId="0" applyAlignment="1">
      <alignment horizontal="left" vertical="center" wrapText="1"/>
    </xf>
    <xf numFmtId="0" fontId="8" fillId="0" borderId="0" xfId="0" applyFont="1" applyAlignment="1">
      <alignment horizontal="left" vertical="center" wrapText="1"/>
    </xf>
    <xf numFmtId="0" fontId="2" fillId="0" borderId="0" xfId="0" applyFont="1" applyAlignment="1">
      <alignment horizontal="left" vertical="center" wrapText="1"/>
    </xf>
    <xf numFmtId="0" fontId="21" fillId="0" borderId="0" xfId="0" applyFont="1" applyAlignment="1">
      <alignment horizontal="left" vertical="center" wrapText="1"/>
    </xf>
    <xf numFmtId="0" fontId="5" fillId="0" borderId="0" xfId="0" applyFont="1" applyAlignment="1">
      <alignment horizontal="left" vertical="center" wrapText="1"/>
    </xf>
    <xf numFmtId="0" fontId="22" fillId="0" borderId="0" xfId="0" applyFont="1" applyAlignment="1">
      <alignment horizontal="left" vertical="center" wrapText="1"/>
    </xf>
    <xf numFmtId="0" fontId="9" fillId="0" borderId="1" xfId="0" applyFont="1" applyBorder="1" applyAlignment="1">
      <alignment horizontal="left" vertical="center" wrapText="1"/>
    </xf>
    <xf numFmtId="0" fontId="0" fillId="0" borderId="1" xfId="0" applyBorder="1" applyAlignment="1">
      <alignment horizontal="left" vertical="center"/>
    </xf>
    <xf numFmtId="0" fontId="8" fillId="0" borderId="1" xfId="0" applyFont="1" applyBorder="1" applyAlignment="1">
      <alignment horizontal="left" vertical="center" wrapText="1"/>
    </xf>
    <xf numFmtId="0" fontId="1" fillId="0" borderId="10" xfId="0" applyFont="1" applyBorder="1" applyAlignment="1">
      <alignment horizontal="left" vertical="center" wrapText="1"/>
    </xf>
    <xf numFmtId="0" fontId="8" fillId="0" borderId="10" xfId="0" applyFont="1" applyBorder="1" applyAlignment="1">
      <alignment horizontal="left" vertical="center" wrapText="1"/>
    </xf>
    <xf numFmtId="0" fontId="0" fillId="0" borderId="36" xfId="0" applyBorder="1" applyAlignment="1">
      <alignment horizontal="left" vertical="center"/>
    </xf>
    <xf numFmtId="0" fontId="8" fillId="0" borderId="18" xfId="0" applyFont="1" applyBorder="1" applyAlignment="1">
      <alignment horizontal="left" vertical="center" wrapText="1"/>
    </xf>
    <xf numFmtId="0" fontId="1" fillId="0" borderId="60" xfId="0" applyFont="1" applyBorder="1" applyAlignment="1">
      <alignment horizontal="left" vertical="center" wrapText="1"/>
    </xf>
    <xf numFmtId="0" fontId="0" fillId="0" borderId="60" xfId="0" applyBorder="1" applyAlignment="1">
      <alignment horizontal="left" vertical="center"/>
    </xf>
    <xf numFmtId="0" fontId="8" fillId="0" borderId="60" xfId="0" applyFont="1" applyBorder="1" applyAlignment="1">
      <alignment horizontal="left" vertical="center" wrapText="1"/>
    </xf>
    <xf numFmtId="0" fontId="8" fillId="0" borderId="12" xfId="0" applyFont="1" applyBorder="1" applyAlignment="1">
      <alignment horizontal="left" vertical="center" wrapText="1"/>
    </xf>
    <xf numFmtId="0" fontId="1" fillId="0" borderId="9" xfId="0" applyFont="1" applyBorder="1" applyAlignment="1">
      <alignment horizontal="left" vertical="center" wrapText="1"/>
    </xf>
    <xf numFmtId="0" fontId="8" fillId="0" borderId="9" xfId="0" applyFont="1" applyBorder="1" applyAlignment="1">
      <alignment horizontal="left" vertical="center" wrapText="1"/>
    </xf>
    <xf numFmtId="0" fontId="1" fillId="0" borderId="10" xfId="0" applyFont="1" applyBorder="1" applyAlignment="1">
      <alignment horizontal="left" vertical="center"/>
    </xf>
    <xf numFmtId="0" fontId="9" fillId="0" borderId="10" xfId="0" applyFont="1" applyBorder="1" applyAlignment="1">
      <alignment horizontal="left" vertical="center" wrapText="1"/>
    </xf>
    <xf numFmtId="0" fontId="8" fillId="0" borderId="20" xfId="0" applyFont="1" applyBorder="1" applyAlignment="1">
      <alignment horizontal="left" vertical="center" wrapText="1"/>
    </xf>
    <xf numFmtId="0" fontId="0" fillId="0" borderId="0" xfId="0" applyAlignment="1">
      <alignment horizontal="left" vertical="center"/>
    </xf>
    <xf numFmtId="0" fontId="0" fillId="0" borderId="0" xfId="0" applyAlignment="1">
      <alignment horizontal="right"/>
    </xf>
    <xf numFmtId="0" fontId="1" fillId="0" borderId="10" xfId="0" applyFont="1" applyBorder="1" applyAlignment="1">
      <alignment horizontal="right" vertical="center"/>
    </xf>
    <xf numFmtId="0" fontId="1" fillId="0" borderId="60" xfId="0" applyFont="1" applyBorder="1" applyAlignment="1">
      <alignment horizontal="right" vertical="center"/>
    </xf>
    <xf numFmtId="0" fontId="1" fillId="0" borderId="9" xfId="0" applyFont="1" applyBorder="1" applyAlignment="1">
      <alignment horizontal="right" vertical="center"/>
    </xf>
    <xf numFmtId="0" fontId="1" fillId="0" borderId="0" xfId="0" applyFont="1" applyAlignment="1">
      <alignment horizontal="right"/>
    </xf>
    <xf numFmtId="0" fontId="8" fillId="0" borderId="12" xfId="0" applyFont="1" applyBorder="1" applyAlignment="1">
      <alignment vertical="center" wrapText="1"/>
    </xf>
    <xf numFmtId="0" fontId="25" fillId="0" borderId="1" xfId="0" applyFont="1" applyBorder="1" applyAlignment="1">
      <alignment vertical="top" wrapText="1"/>
    </xf>
    <xf numFmtId="0" fontId="25" fillId="0" borderId="0" xfId="0" applyFont="1" applyAlignment="1">
      <alignment vertical="top" wrapText="1"/>
    </xf>
    <xf numFmtId="0" fontId="24" fillId="0" borderId="0" xfId="0" applyFont="1" applyAlignment="1">
      <alignment vertical="top" wrapText="1"/>
    </xf>
    <xf numFmtId="0" fontId="0" fillId="0" borderId="58" xfId="0" applyBorder="1" applyAlignment="1">
      <alignment horizontal="left" vertical="center"/>
    </xf>
    <xf numFmtId="0" fontId="0" fillId="0" borderId="56" xfId="0" applyBorder="1" applyAlignment="1">
      <alignment horizontal="left" vertical="center"/>
    </xf>
    <xf numFmtId="0" fontId="8" fillId="0" borderId="5" xfId="0" applyFont="1" applyBorder="1" applyAlignment="1">
      <alignment horizontal="center" vertical="center" wrapText="1"/>
    </xf>
    <xf numFmtId="0" fontId="8" fillId="0" borderId="63" xfId="0" applyFont="1" applyBorder="1" applyAlignment="1">
      <alignment horizontal="center" vertical="center" wrapText="1"/>
    </xf>
    <xf numFmtId="0" fontId="8" fillId="0" borderId="4" xfId="0" applyFont="1" applyBorder="1" applyAlignment="1">
      <alignment horizontal="center" vertical="center"/>
    </xf>
    <xf numFmtId="0" fontId="0" fillId="0" borderId="34" xfId="0" applyBorder="1" applyAlignment="1">
      <alignment horizontal="center" vertical="center" wrapText="1"/>
    </xf>
    <xf numFmtId="0" fontId="0" fillId="0" borderId="65" xfId="0" applyBorder="1" applyAlignment="1">
      <alignment horizontal="center" vertical="center" wrapText="1"/>
    </xf>
    <xf numFmtId="0" fontId="0" fillId="0" borderId="28" xfId="0" applyBorder="1" applyAlignment="1">
      <alignment horizontal="center" vertical="center" wrapText="1"/>
    </xf>
    <xf numFmtId="0" fontId="0" fillId="0" borderId="66" xfId="0" applyBorder="1" applyAlignment="1">
      <alignment horizontal="center" vertical="center" wrapText="1"/>
    </xf>
    <xf numFmtId="0" fontId="0" fillId="0" borderId="70" xfId="0" applyBorder="1" applyAlignment="1">
      <alignment horizontal="center" vertical="center"/>
    </xf>
    <xf numFmtId="0" fontId="0" fillId="0" borderId="30" xfId="0" applyBorder="1" applyAlignment="1">
      <alignment horizontal="center" vertical="center" wrapText="1"/>
    </xf>
    <xf numFmtId="0" fontId="0" fillId="0" borderId="67" xfId="0" applyBorder="1" applyAlignment="1">
      <alignment horizontal="center" vertical="center" wrapText="1"/>
    </xf>
    <xf numFmtId="0" fontId="0" fillId="0" borderId="19" xfId="0" applyBorder="1" applyAlignment="1">
      <alignment horizontal="center" vertical="center"/>
    </xf>
    <xf numFmtId="0" fontId="0" fillId="0" borderId="62" xfId="0" applyBorder="1" applyAlignment="1">
      <alignment horizontal="center" vertical="center" wrapText="1"/>
    </xf>
    <xf numFmtId="0" fontId="0" fillId="0" borderId="68" xfId="0" applyBorder="1" applyAlignment="1">
      <alignment horizontal="center" vertical="center" wrapText="1"/>
    </xf>
    <xf numFmtId="0" fontId="0" fillId="0" borderId="61" xfId="0" applyBorder="1" applyAlignment="1">
      <alignment horizontal="center" vertical="center"/>
    </xf>
    <xf numFmtId="0" fontId="0" fillId="0" borderId="13" xfId="0" applyBorder="1" applyAlignment="1">
      <alignment horizontal="center" vertical="center"/>
    </xf>
    <xf numFmtId="0" fontId="0" fillId="0" borderId="5" xfId="0" applyBorder="1" applyAlignment="1">
      <alignment horizontal="center" vertical="center" wrapText="1"/>
    </xf>
    <xf numFmtId="0" fontId="0" fillId="0" borderId="63" xfId="0" applyBorder="1" applyAlignment="1">
      <alignment horizontal="center" vertical="center" wrapText="1"/>
    </xf>
    <xf numFmtId="0" fontId="0" fillId="0" borderId="26" xfId="0" applyBorder="1" applyAlignment="1">
      <alignment horizontal="center" vertical="center" wrapText="1"/>
    </xf>
    <xf numFmtId="0" fontId="0" fillId="0" borderId="64" xfId="0" applyBorder="1" applyAlignment="1">
      <alignment horizontal="center" vertical="center" wrapText="1"/>
    </xf>
    <xf numFmtId="0" fontId="1" fillId="0" borderId="34" xfId="0" applyFont="1" applyBorder="1" applyAlignment="1">
      <alignment horizontal="center" vertical="center" wrapText="1"/>
    </xf>
    <xf numFmtId="0" fontId="1" fillId="0" borderId="65" xfId="0" applyFont="1" applyBorder="1" applyAlignment="1">
      <alignment horizontal="center" vertical="center" wrapText="1"/>
    </xf>
    <xf numFmtId="0" fontId="1" fillId="0" borderId="8" xfId="0" applyFont="1" applyBorder="1" applyAlignment="1">
      <alignment horizontal="center" vertical="center"/>
    </xf>
    <xf numFmtId="0" fontId="0" fillId="0" borderId="33" xfId="0" applyBorder="1" applyAlignment="1">
      <alignment horizontal="center" vertical="center" wrapText="1"/>
    </xf>
    <xf numFmtId="0" fontId="0" fillId="0" borderId="69" xfId="0" applyBorder="1" applyAlignment="1">
      <alignment horizontal="center" vertical="center" wrapText="1"/>
    </xf>
    <xf numFmtId="0" fontId="0" fillId="0" borderId="21" xfId="0" applyBorder="1" applyAlignment="1">
      <alignment horizontal="center" vertical="center"/>
    </xf>
    <xf numFmtId="0" fontId="18" fillId="0" borderId="0" xfId="0" applyFont="1" applyAlignment="1">
      <alignment horizontal="center" vertical="center" wrapText="1"/>
    </xf>
    <xf numFmtId="0" fontId="18" fillId="0" borderId="8" xfId="0" applyFont="1" applyBorder="1" applyAlignment="1">
      <alignment horizontal="center" vertical="center" wrapText="1"/>
    </xf>
    <xf numFmtId="0" fontId="18" fillId="0" borderId="53" xfId="0" applyFont="1" applyBorder="1" applyAlignment="1">
      <alignment horizontal="center" vertical="center" wrapText="1"/>
    </xf>
    <xf numFmtId="0" fontId="18" fillId="0" borderId="50" xfId="0" applyFont="1" applyBorder="1" applyAlignment="1">
      <alignment horizontal="center" vertical="center" wrapText="1"/>
    </xf>
    <xf numFmtId="0" fontId="0" fillId="0" borderId="12" xfId="0" applyBorder="1" applyAlignment="1">
      <alignment horizontal="left" vertical="center"/>
    </xf>
    <xf numFmtId="0" fontId="0" fillId="0" borderId="12" xfId="0" applyBorder="1" applyAlignment="1">
      <alignment horizontal="right" vertical="center"/>
    </xf>
    <xf numFmtId="0" fontId="0" fillId="0" borderId="12" xfId="0" applyBorder="1" applyAlignment="1">
      <alignment horizontal="left" vertical="center" wrapText="1"/>
    </xf>
    <xf numFmtId="0" fontId="0" fillId="0" borderId="10" xfId="0" applyBorder="1" applyAlignment="1">
      <alignment horizontal="left" vertical="center"/>
    </xf>
    <xf numFmtId="0" fontId="0" fillId="0" borderId="10" xfId="0" applyBorder="1" applyAlignment="1">
      <alignment horizontal="right" vertical="center"/>
    </xf>
    <xf numFmtId="0" fontId="0" fillId="0" borderId="8" xfId="0" applyBorder="1" applyAlignment="1">
      <alignment horizontal="center" vertical="center"/>
    </xf>
    <xf numFmtId="0" fontId="0" fillId="0" borderId="50" xfId="0" applyBorder="1" applyAlignment="1">
      <alignment horizontal="center" vertical="center"/>
    </xf>
    <xf numFmtId="0" fontId="0" fillId="0" borderId="53" xfId="0" applyBorder="1" applyAlignment="1">
      <alignment horizontal="center" vertical="center"/>
    </xf>
    <xf numFmtId="0" fontId="27" fillId="0" borderId="1" xfId="0" applyFont="1" applyBorder="1" applyAlignment="1">
      <alignment vertical="center" wrapText="1"/>
    </xf>
    <xf numFmtId="0" fontId="2" fillId="0" borderId="1" xfId="0" applyFont="1" applyBorder="1" applyAlignment="1">
      <alignment vertical="top" wrapText="1"/>
    </xf>
    <xf numFmtId="0" fontId="4" fillId="0" borderId="0" xfId="0" applyFont="1" applyAlignment="1">
      <alignment vertical="top" wrapText="1"/>
    </xf>
    <xf numFmtId="0" fontId="14" fillId="2" borderId="9" xfId="0" applyFont="1" applyFill="1" applyBorder="1" applyAlignment="1">
      <alignment horizontal="center" vertical="center"/>
    </xf>
    <xf numFmtId="0" fontId="6" fillId="2" borderId="9" xfId="0" applyFont="1" applyFill="1" applyBorder="1" applyAlignment="1">
      <alignment horizontal="center" vertical="center" wrapText="1"/>
    </xf>
    <xf numFmtId="0" fontId="2" fillId="0" borderId="11" xfId="0" applyFont="1" applyBorder="1" applyAlignment="1">
      <alignment vertical="top" wrapText="1"/>
    </xf>
    <xf numFmtId="0" fontId="27" fillId="0" borderId="11" xfId="0" applyFont="1" applyBorder="1" applyAlignment="1">
      <alignment vertical="center" wrapText="1"/>
    </xf>
    <xf numFmtId="0" fontId="2" fillId="0" borderId="73" xfId="0" applyFont="1" applyBorder="1" applyAlignment="1">
      <alignment vertical="top" wrapText="1"/>
    </xf>
    <xf numFmtId="0" fontId="27" fillId="0" borderId="73" xfId="0" applyFont="1" applyBorder="1" applyAlignment="1">
      <alignment vertical="center" wrapText="1"/>
    </xf>
    <xf numFmtId="0" fontId="28" fillId="0" borderId="0" xfId="0" applyFont="1" applyAlignment="1">
      <alignment vertical="top"/>
    </xf>
    <xf numFmtId="0" fontId="29" fillId="0" borderId="0" xfId="0" applyFont="1" applyAlignment="1">
      <alignment vertical="top"/>
    </xf>
    <xf numFmtId="0" fontId="30" fillId="0" borderId="0" xfId="0" applyFont="1" applyAlignment="1">
      <alignment vertical="top"/>
    </xf>
    <xf numFmtId="0" fontId="28" fillId="0" borderId="40" xfId="0" applyFont="1" applyBorder="1" applyAlignment="1">
      <alignment vertical="top"/>
    </xf>
    <xf numFmtId="0" fontId="2" fillId="0" borderId="75" xfId="0" applyFont="1" applyBorder="1" applyAlignment="1">
      <alignment vertical="top" wrapText="1"/>
    </xf>
    <xf numFmtId="0" fontId="27" fillId="0" borderId="75" xfId="0" applyFont="1" applyBorder="1" applyAlignment="1">
      <alignment vertical="center" wrapText="1"/>
    </xf>
    <xf numFmtId="0" fontId="27" fillId="0" borderId="4" xfId="0" applyFont="1" applyBorder="1" applyAlignment="1">
      <alignment vertical="center" wrapText="1"/>
    </xf>
    <xf numFmtId="0" fontId="2" fillId="18" borderId="73" xfId="0" applyFont="1" applyFill="1" applyBorder="1" applyAlignment="1">
      <alignment vertical="top"/>
    </xf>
    <xf numFmtId="0" fontId="2" fillId="18" borderId="11" xfId="0" applyFont="1" applyFill="1" applyBorder="1" applyAlignment="1">
      <alignment vertical="top"/>
    </xf>
    <xf numFmtId="0" fontId="32" fillId="0" borderId="0" xfId="0" applyFont="1" applyAlignment="1">
      <alignment vertical="center"/>
    </xf>
    <xf numFmtId="0" fontId="29" fillId="17" borderId="10" xfId="0" applyFont="1" applyFill="1" applyBorder="1" applyAlignment="1">
      <alignment horizontal="center" vertical="center" wrapText="1"/>
    </xf>
    <xf numFmtId="0" fontId="13" fillId="0" borderId="0" xfId="0" applyFont="1" applyAlignment="1">
      <alignment horizontal="left" vertical="center"/>
    </xf>
    <xf numFmtId="0" fontId="13" fillId="0" borderId="0" xfId="0" applyFont="1" applyAlignment="1">
      <alignment vertical="top" wrapText="1"/>
    </xf>
    <xf numFmtId="0" fontId="15" fillId="0" borderId="85" xfId="0" applyFont="1" applyBorder="1" applyAlignment="1">
      <alignment horizontal="center" vertical="center"/>
    </xf>
    <xf numFmtId="0" fontId="15" fillId="0" borderId="87" xfId="0" applyFont="1" applyBorder="1" applyAlignment="1">
      <alignment horizontal="center" vertical="center"/>
    </xf>
    <xf numFmtId="0" fontId="0" fillId="0" borderId="37" xfId="0" applyBorder="1" applyAlignment="1">
      <alignment wrapText="1"/>
    </xf>
    <xf numFmtId="0" fontId="0" fillId="0" borderId="94" xfId="0" applyBorder="1" applyAlignment="1">
      <alignment vertical="top" wrapText="1"/>
    </xf>
    <xf numFmtId="0" fontId="0" fillId="0" borderId="95" xfId="0" applyBorder="1" applyAlignment="1">
      <alignment vertical="top" wrapText="1"/>
    </xf>
    <xf numFmtId="0" fontId="0" fillId="0" borderId="96" xfId="0" applyBorder="1" applyAlignment="1">
      <alignment vertical="top" wrapText="1"/>
    </xf>
    <xf numFmtId="0" fontId="0" fillId="0" borderId="97" xfId="0" applyBorder="1" applyAlignment="1">
      <alignment vertical="top" wrapText="1"/>
    </xf>
    <xf numFmtId="0" fontId="15" fillId="18" borderId="86" xfId="0" applyFont="1" applyFill="1" applyBorder="1" applyAlignment="1">
      <alignment horizontal="center" vertical="center"/>
    </xf>
    <xf numFmtId="0" fontId="15" fillId="18" borderId="93" xfId="0" applyFont="1" applyFill="1" applyBorder="1" applyAlignment="1">
      <alignment horizontal="center" vertical="center"/>
    </xf>
    <xf numFmtId="0" fontId="0" fillId="18" borderId="1" xfId="0" applyFill="1" applyBorder="1" applyAlignment="1">
      <alignment horizontal="left" vertical="center"/>
    </xf>
    <xf numFmtId="0" fontId="0" fillId="18" borderId="10" xfId="0" applyFill="1" applyBorder="1" applyAlignment="1">
      <alignment horizontal="left" vertical="center"/>
    </xf>
    <xf numFmtId="0" fontId="0" fillId="18" borderId="12" xfId="0" applyFill="1" applyBorder="1" applyAlignment="1">
      <alignment horizontal="left" vertical="center"/>
    </xf>
    <xf numFmtId="0" fontId="0" fillId="18" borderId="60" xfId="0" applyFill="1" applyBorder="1" applyAlignment="1">
      <alignment horizontal="left" vertical="center"/>
    </xf>
    <xf numFmtId="0" fontId="0" fillId="18" borderId="9" xfId="0" applyFill="1" applyBorder="1" applyAlignment="1">
      <alignment horizontal="left" vertical="center"/>
    </xf>
    <xf numFmtId="0" fontId="1" fillId="18" borderId="10" xfId="0" applyFont="1" applyFill="1" applyBorder="1" applyAlignment="1">
      <alignment horizontal="left" vertical="center"/>
    </xf>
    <xf numFmtId="0" fontId="8" fillId="18" borderId="1" xfId="0" applyFont="1" applyFill="1" applyBorder="1" applyAlignment="1">
      <alignment horizontal="left" vertical="center" wrapText="1"/>
    </xf>
    <xf numFmtId="0" fontId="8" fillId="18" borderId="10" xfId="0" applyFont="1" applyFill="1" applyBorder="1" applyAlignment="1">
      <alignment horizontal="left" vertical="center" wrapText="1"/>
    </xf>
    <xf numFmtId="0" fontId="8" fillId="18" borderId="12" xfId="0" applyFont="1" applyFill="1" applyBorder="1" applyAlignment="1">
      <alignment vertical="center" wrapText="1"/>
    </xf>
    <xf numFmtId="0" fontId="8" fillId="18" borderId="18" xfId="0" applyFont="1" applyFill="1" applyBorder="1" applyAlignment="1">
      <alignment horizontal="left" vertical="center" wrapText="1"/>
    </xf>
    <xf numFmtId="0" fontId="8" fillId="18" borderId="60" xfId="0" applyFont="1" applyFill="1" applyBorder="1" applyAlignment="1">
      <alignment horizontal="left" vertical="center" wrapText="1"/>
    </xf>
    <xf numFmtId="0" fontId="8" fillId="18" borderId="12" xfId="0" applyFont="1" applyFill="1" applyBorder="1" applyAlignment="1">
      <alignment horizontal="left" vertical="center" wrapText="1"/>
    </xf>
    <xf numFmtId="0" fontId="8" fillId="18" borderId="9" xfId="0" applyFont="1" applyFill="1" applyBorder="1" applyAlignment="1">
      <alignment horizontal="left" vertical="center" wrapText="1"/>
    </xf>
    <xf numFmtId="0" fontId="9" fillId="18" borderId="10" xfId="0" applyFont="1" applyFill="1" applyBorder="1" applyAlignment="1">
      <alignment horizontal="left" vertical="center" wrapText="1"/>
    </xf>
    <xf numFmtId="0" fontId="8" fillId="18" borderId="20" xfId="0" applyFont="1" applyFill="1" applyBorder="1" applyAlignment="1">
      <alignment horizontal="left" vertical="center" wrapText="1"/>
    </xf>
    <xf numFmtId="0" fontId="5" fillId="0" borderId="0" xfId="0" applyFont="1" applyAlignment="1">
      <alignment horizontal="left" vertical="center"/>
    </xf>
    <xf numFmtId="0" fontId="0" fillId="18" borderId="98" xfId="0" applyFill="1" applyBorder="1" applyAlignment="1">
      <alignment horizontal="center"/>
    </xf>
    <xf numFmtId="0" fontId="0" fillId="18" borderId="91" xfId="0" applyFill="1" applyBorder="1" applyAlignment="1">
      <alignment horizontal="center"/>
    </xf>
    <xf numFmtId="0" fontId="0" fillId="18" borderId="99" xfId="0" applyFill="1" applyBorder="1" applyAlignment="1">
      <alignment horizontal="center"/>
    </xf>
    <xf numFmtId="0" fontId="0" fillId="18" borderId="7" xfId="0" applyFill="1" applyBorder="1"/>
    <xf numFmtId="0" fontId="0" fillId="18" borderId="4" xfId="0" applyFill="1" applyBorder="1"/>
    <xf numFmtId="0" fontId="0" fillId="18" borderId="5" xfId="0" applyFill="1" applyBorder="1" applyAlignment="1">
      <alignment wrapText="1"/>
    </xf>
    <xf numFmtId="0" fontId="0" fillId="18" borderId="15" xfId="0" applyFill="1" applyBorder="1"/>
    <xf numFmtId="0" fontId="0" fillId="18" borderId="13" xfId="0" applyFill="1" applyBorder="1"/>
    <xf numFmtId="0" fontId="0" fillId="18" borderId="17" xfId="0" applyFill="1" applyBorder="1"/>
    <xf numFmtId="0" fontId="0" fillId="18" borderId="19" xfId="0" applyFill="1" applyBorder="1"/>
    <xf numFmtId="0" fontId="0" fillId="18" borderId="25" xfId="0" applyFill="1" applyBorder="1"/>
    <xf numFmtId="0" fontId="0" fillId="18" borderId="23" xfId="0" applyFill="1" applyBorder="1"/>
    <xf numFmtId="0" fontId="0" fillId="18" borderId="21" xfId="0" applyFill="1" applyBorder="1"/>
    <xf numFmtId="0" fontId="8" fillId="18" borderId="31" xfId="0" applyFont="1" applyFill="1" applyBorder="1" applyAlignment="1">
      <alignment wrapText="1"/>
    </xf>
    <xf numFmtId="0" fontId="8" fillId="18" borderId="32" xfId="0" applyFont="1" applyFill="1" applyBorder="1" applyAlignment="1">
      <alignment wrapText="1"/>
    </xf>
    <xf numFmtId="0" fontId="8" fillId="18" borderId="34" xfId="0" applyFont="1" applyFill="1" applyBorder="1" applyAlignment="1">
      <alignment wrapText="1"/>
    </xf>
    <xf numFmtId="0" fontId="8" fillId="18" borderId="33" xfId="0" applyFont="1" applyFill="1" applyBorder="1" applyAlignment="1">
      <alignment wrapText="1"/>
    </xf>
    <xf numFmtId="0" fontId="8" fillId="18" borderId="30" xfId="0" applyFont="1" applyFill="1" applyBorder="1" applyAlignment="1">
      <alignment wrapText="1"/>
    </xf>
    <xf numFmtId="0" fontId="8" fillId="18" borderId="28" xfId="0" applyFont="1" applyFill="1" applyBorder="1" applyAlignment="1">
      <alignment wrapText="1"/>
    </xf>
    <xf numFmtId="0" fontId="8" fillId="18" borderId="29" xfId="0" applyFont="1" applyFill="1" applyBorder="1" applyAlignment="1">
      <alignment wrapText="1"/>
    </xf>
    <xf numFmtId="0" fontId="8" fillId="18" borderId="5" xfId="0" applyFont="1" applyFill="1" applyBorder="1" applyAlignment="1">
      <alignment wrapText="1"/>
    </xf>
    <xf numFmtId="0" fontId="0" fillId="0" borderId="2" xfId="0" applyBorder="1" applyAlignment="1">
      <alignment wrapText="1"/>
    </xf>
    <xf numFmtId="0" fontId="0" fillId="6" borderId="47" xfId="0" applyFill="1" applyBorder="1" applyAlignment="1">
      <alignment wrapText="1"/>
    </xf>
    <xf numFmtId="0" fontId="0" fillId="18" borderId="41" xfId="0" applyFill="1" applyBorder="1"/>
    <xf numFmtId="0" fontId="0" fillId="6" borderId="104" xfId="0" applyFill="1" applyBorder="1" applyAlignment="1">
      <alignment wrapText="1"/>
    </xf>
    <xf numFmtId="0" fontId="0" fillId="18" borderId="107" xfId="0" applyFill="1" applyBorder="1"/>
    <xf numFmtId="0" fontId="13" fillId="0" borderId="0" xfId="0" applyFont="1" applyAlignment="1">
      <alignment vertical="top"/>
    </xf>
    <xf numFmtId="0" fontId="2" fillId="0" borderId="110" xfId="0" applyFont="1" applyBorder="1" applyAlignment="1">
      <alignment vertical="top" wrapText="1"/>
    </xf>
    <xf numFmtId="0" fontId="2" fillId="0" borderId="0" xfId="0" applyFont="1" applyAlignment="1">
      <alignment horizontal="left" vertical="top"/>
    </xf>
    <xf numFmtId="0" fontId="6" fillId="2" borderId="0" xfId="0" applyFont="1" applyFill="1" applyAlignment="1">
      <alignment horizontal="center" vertical="center" wrapText="1"/>
    </xf>
    <xf numFmtId="0" fontId="2" fillId="0" borderId="11" xfId="0" applyFont="1" applyBorder="1" applyAlignment="1">
      <alignment horizontal="left" vertical="top" wrapText="1"/>
    </xf>
    <xf numFmtId="0" fontId="2" fillId="0" borderId="1" xfId="0" applyFont="1" applyBorder="1" applyAlignment="1">
      <alignment horizontal="left" vertical="top" wrapText="1"/>
    </xf>
    <xf numFmtId="0" fontId="2" fillId="0" borderId="10" xfId="0" applyFont="1" applyBorder="1" applyAlignment="1">
      <alignment vertical="top"/>
    </xf>
    <xf numFmtId="0" fontId="2" fillId="0" borderId="73" xfId="0" applyFont="1" applyBorder="1" applyAlignment="1">
      <alignment horizontal="left" vertical="top" wrapText="1"/>
    </xf>
    <xf numFmtId="0" fontId="2" fillId="0" borderId="75" xfId="0" applyFont="1" applyBorder="1" applyAlignment="1">
      <alignment horizontal="left" vertical="top" wrapText="1"/>
    </xf>
    <xf numFmtId="0" fontId="7" fillId="2" borderId="65" xfId="0" applyFont="1" applyFill="1" applyBorder="1" applyAlignment="1">
      <alignment horizontal="center" vertical="center" textRotation="90" wrapText="1"/>
    </xf>
    <xf numFmtId="0" fontId="7" fillId="2" borderId="50" xfId="0" applyFont="1" applyFill="1" applyBorder="1" applyAlignment="1">
      <alignment horizontal="center" vertical="center" textRotation="90" wrapText="1"/>
    </xf>
    <xf numFmtId="0" fontId="7" fillId="2" borderId="53" xfId="0" applyFont="1" applyFill="1" applyBorder="1" applyAlignment="1">
      <alignment horizontal="center" vertical="center" textRotation="90" wrapText="1"/>
    </xf>
    <xf numFmtId="0" fontId="7" fillId="2" borderId="57" xfId="0" applyFont="1" applyFill="1" applyBorder="1" applyAlignment="1">
      <alignment horizontal="center" vertical="center" textRotation="90" wrapText="1"/>
    </xf>
    <xf numFmtId="0" fontId="2" fillId="0" borderId="118" xfId="0" applyFont="1" applyBorder="1" applyAlignment="1">
      <alignment vertical="top" wrapText="1"/>
    </xf>
    <xf numFmtId="0" fontId="27" fillId="0" borderId="118" xfId="0" applyFont="1" applyBorder="1" applyAlignment="1">
      <alignment vertical="center" wrapText="1"/>
    </xf>
    <xf numFmtId="0" fontId="2" fillId="0" borderId="117" xfId="0" applyFont="1" applyBorder="1" applyAlignment="1">
      <alignment vertical="top"/>
    </xf>
    <xf numFmtId="0" fontId="2" fillId="0" borderId="123" xfId="0" applyFont="1" applyBorder="1" applyAlignment="1">
      <alignment vertical="top"/>
    </xf>
    <xf numFmtId="0" fontId="2" fillId="0" borderId="125" xfId="0" applyFont="1" applyBorder="1" applyAlignment="1">
      <alignment vertical="top"/>
    </xf>
    <xf numFmtId="0" fontId="27" fillId="0" borderId="134" xfId="0" applyFont="1" applyBorder="1" applyAlignment="1">
      <alignment vertical="center" wrapText="1"/>
    </xf>
    <xf numFmtId="0" fontId="2" fillId="0" borderId="132" xfId="0" applyFont="1" applyBorder="1" applyAlignment="1">
      <alignment vertical="top"/>
    </xf>
    <xf numFmtId="0" fontId="2" fillId="0" borderId="135" xfId="0" applyFont="1" applyBorder="1" applyAlignment="1">
      <alignment vertical="top"/>
    </xf>
    <xf numFmtId="0" fontId="2" fillId="0" borderId="136" xfId="0" applyFont="1" applyBorder="1" applyAlignment="1">
      <alignment vertical="top"/>
    </xf>
    <xf numFmtId="0" fontId="2" fillId="0" borderId="71" xfId="0" applyFont="1" applyBorder="1" applyAlignment="1">
      <alignment horizontal="left" vertical="top" wrapText="1"/>
    </xf>
    <xf numFmtId="0" fontId="2" fillId="0" borderId="135" xfId="0" applyFont="1" applyBorder="1" applyAlignment="1">
      <alignment horizontal="left" vertical="top" wrapText="1"/>
    </xf>
    <xf numFmtId="0" fontId="6" fillId="2" borderId="10" xfId="0" applyFont="1" applyFill="1" applyBorder="1" applyAlignment="1">
      <alignment horizontal="left" vertical="top" wrapText="1"/>
    </xf>
    <xf numFmtId="0" fontId="2" fillId="0" borderId="118" xfId="0" applyFont="1" applyBorder="1" applyAlignment="1">
      <alignment horizontal="left" vertical="top" wrapText="1"/>
    </xf>
    <xf numFmtId="0" fontId="2" fillId="0" borderId="11" xfId="0" applyFont="1" applyBorder="1" applyAlignment="1">
      <alignment horizontal="left" vertical="top"/>
    </xf>
    <xf numFmtId="0" fontId="2" fillId="0" borderId="75" xfId="0" applyFont="1" applyBorder="1" applyAlignment="1">
      <alignment horizontal="left" vertical="top"/>
    </xf>
    <xf numFmtId="0" fontId="2" fillId="0" borderId="1" xfId="0" applyFont="1" applyBorder="1" applyAlignment="1">
      <alignment horizontal="left" vertical="top"/>
    </xf>
    <xf numFmtId="0" fontId="2" fillId="0" borderId="73" xfId="0" applyFont="1" applyBorder="1" applyAlignment="1">
      <alignment horizontal="left" vertical="top"/>
    </xf>
    <xf numFmtId="0" fontId="36" fillId="0" borderId="53" xfId="0" applyFont="1" applyBorder="1" applyAlignment="1">
      <alignment vertical="center" wrapText="1"/>
    </xf>
    <xf numFmtId="0" fontId="36" fillId="0" borderId="78" xfId="0" applyFont="1" applyBorder="1" applyAlignment="1">
      <alignment vertical="center" wrapText="1"/>
    </xf>
    <xf numFmtId="0" fontId="36" fillId="0" borderId="0" xfId="0" applyFont="1" applyAlignment="1">
      <alignment vertical="center" wrapText="1"/>
    </xf>
    <xf numFmtId="0" fontId="36" fillId="0" borderId="119" xfId="0" applyFont="1" applyBorder="1" applyAlignment="1">
      <alignment horizontal="center" vertical="center"/>
    </xf>
    <xf numFmtId="0" fontId="36" fillId="0" borderId="120" xfId="0" applyFont="1" applyBorder="1" applyAlignment="1">
      <alignment horizontal="center" vertical="center"/>
    </xf>
    <xf numFmtId="0" fontId="36" fillId="0" borderId="120" xfId="0" applyFont="1" applyBorder="1" applyAlignment="1">
      <alignment horizontal="center" vertical="center" wrapText="1"/>
    </xf>
    <xf numFmtId="0" fontId="36" fillId="0" borderId="121" xfId="0" applyFont="1" applyBorder="1" applyAlignment="1">
      <alignment horizontal="center" vertical="center"/>
    </xf>
    <xf numFmtId="0" fontId="36" fillId="0" borderId="122" xfId="0" applyFont="1" applyBorder="1" applyAlignment="1">
      <alignment horizontal="center" vertical="center"/>
    </xf>
    <xf numFmtId="0" fontId="36" fillId="0" borderId="48" xfId="0" applyFont="1" applyBorder="1" applyAlignment="1">
      <alignment horizontal="center" vertical="center" wrapText="1"/>
    </xf>
    <xf numFmtId="0" fontId="36" fillId="0" borderId="0" xfId="0" applyFont="1" applyAlignment="1">
      <alignment horizontal="center" vertical="center"/>
    </xf>
    <xf numFmtId="0" fontId="36" fillId="0" borderId="0" xfId="0" applyFont="1" applyAlignment="1">
      <alignment horizontal="center" vertical="center" wrapText="1"/>
    </xf>
    <xf numFmtId="0" fontId="36" fillId="0" borderId="53" xfId="0" applyFont="1" applyBorder="1" applyAlignment="1">
      <alignment vertical="center"/>
    </xf>
    <xf numFmtId="0" fontId="36" fillId="0" borderId="0" xfId="0" applyFont="1" applyAlignment="1">
      <alignment vertical="center"/>
    </xf>
    <xf numFmtId="0" fontId="36" fillId="0" borderId="50" xfId="0" applyFont="1" applyBorder="1" applyAlignment="1">
      <alignment vertical="center"/>
    </xf>
    <xf numFmtId="0" fontId="36" fillId="0" borderId="8" xfId="0" applyFont="1" applyBorder="1" applyAlignment="1">
      <alignment vertical="center"/>
    </xf>
    <xf numFmtId="0" fontId="36" fillId="0" borderId="53" xfId="0" applyFont="1" applyBorder="1" applyAlignment="1">
      <alignment horizontal="center" vertical="center"/>
    </xf>
    <xf numFmtId="0" fontId="36" fillId="0" borderId="50" xfId="0" applyFont="1" applyBorder="1" applyAlignment="1">
      <alignment horizontal="center" vertical="center"/>
    </xf>
    <xf numFmtId="0" fontId="36" fillId="0" borderId="8" xfId="0" applyFont="1" applyBorder="1" applyAlignment="1">
      <alignment horizontal="center" vertical="center"/>
    </xf>
    <xf numFmtId="0" fontId="36" fillId="0" borderId="53" xfId="0" applyFont="1" applyBorder="1" applyAlignment="1">
      <alignment horizontal="center" vertical="center" wrapText="1"/>
    </xf>
    <xf numFmtId="0" fontId="36" fillId="0" borderId="50" xfId="0" applyFont="1" applyBorder="1" applyAlignment="1">
      <alignment horizontal="center" vertical="center" wrapText="1"/>
    </xf>
    <xf numFmtId="0" fontId="36" fillId="0" borderId="8" xfId="0" applyFont="1" applyBorder="1" applyAlignment="1">
      <alignment horizontal="center" vertical="center" wrapText="1"/>
    </xf>
    <xf numFmtId="0" fontId="36" fillId="0" borderId="50" xfId="0" applyFont="1" applyBorder="1" applyAlignment="1">
      <alignment vertical="center" wrapText="1"/>
    </xf>
    <xf numFmtId="0" fontId="36" fillId="0" borderId="8" xfId="0" applyFont="1" applyBorder="1" applyAlignment="1">
      <alignment vertical="center" wrapText="1"/>
    </xf>
    <xf numFmtId="0" fontId="36" fillId="0" borderId="72" xfId="0" applyFont="1" applyBorder="1" applyAlignment="1">
      <alignment horizontal="center" vertical="center" wrapText="1"/>
    </xf>
    <xf numFmtId="0" fontId="36" fillId="0" borderId="76" xfId="0" applyFont="1" applyBorder="1" applyAlignment="1">
      <alignment horizontal="center" vertical="center"/>
    </xf>
    <xf numFmtId="0" fontId="36" fillId="0" borderId="76" xfId="0" applyFont="1" applyBorder="1" applyAlignment="1">
      <alignment horizontal="center" vertical="center" wrapText="1"/>
    </xf>
    <xf numFmtId="0" fontId="36" fillId="0" borderId="76" xfId="0" applyFont="1" applyBorder="1" applyAlignment="1">
      <alignment vertical="center" wrapText="1"/>
    </xf>
    <xf numFmtId="0" fontId="36" fillId="0" borderId="77" xfId="0" applyFont="1" applyBorder="1" applyAlignment="1">
      <alignment vertical="center" wrapText="1"/>
    </xf>
    <xf numFmtId="0" fontId="36" fillId="0" borderId="79" xfId="0" applyFont="1" applyBorder="1" applyAlignment="1">
      <alignment vertical="center" wrapText="1"/>
    </xf>
    <xf numFmtId="0" fontId="36" fillId="0" borderId="72" xfId="0" applyFont="1" applyBorder="1" applyAlignment="1">
      <alignment horizontal="center" vertical="center"/>
    </xf>
    <xf numFmtId="0" fontId="36" fillId="0" borderId="78" xfId="0" applyFont="1" applyBorder="1" applyAlignment="1">
      <alignment horizontal="center" vertical="center"/>
    </xf>
    <xf numFmtId="0" fontId="36" fillId="0" borderId="48" xfId="0" applyFont="1" applyBorder="1" applyAlignment="1">
      <alignment vertical="center" wrapText="1"/>
    </xf>
    <xf numFmtId="0" fontId="36" fillId="0" borderId="80" xfId="0" applyFont="1" applyBorder="1" applyAlignment="1">
      <alignment vertical="center" wrapText="1"/>
    </xf>
    <xf numFmtId="0" fontId="36" fillId="0" borderId="81" xfId="0" applyFont="1" applyBorder="1" applyAlignment="1">
      <alignment vertical="center" wrapText="1"/>
    </xf>
    <xf numFmtId="0" fontId="36" fillId="0" borderId="82" xfId="0" applyFont="1" applyBorder="1" applyAlignment="1">
      <alignment vertical="center" wrapText="1"/>
    </xf>
    <xf numFmtId="0" fontId="36" fillId="0" borderId="83" xfId="0" applyFont="1" applyBorder="1" applyAlignment="1">
      <alignment vertical="center" wrapText="1"/>
    </xf>
    <xf numFmtId="0" fontId="36" fillId="0" borderId="84" xfId="0" applyFont="1" applyBorder="1" applyAlignment="1">
      <alignment vertical="center" wrapText="1"/>
    </xf>
    <xf numFmtId="0" fontId="37" fillId="0" borderId="53" xfId="0" applyFont="1" applyBorder="1" applyAlignment="1">
      <alignment horizontal="center" vertical="center" wrapText="1"/>
    </xf>
    <xf numFmtId="0" fontId="37" fillId="0" borderId="0" xfId="0" applyFont="1" applyAlignment="1">
      <alignment horizontal="center" vertical="center" wrapText="1"/>
    </xf>
    <xf numFmtId="0" fontId="37" fillId="0" borderId="50" xfId="0" applyFont="1" applyBorder="1" applyAlignment="1">
      <alignment horizontal="center" vertical="center" wrapText="1"/>
    </xf>
    <xf numFmtId="0" fontId="37" fillId="0" borderId="8" xfId="0" applyFont="1" applyBorder="1" applyAlignment="1">
      <alignment horizontal="center" vertical="center" wrapText="1"/>
    </xf>
    <xf numFmtId="0" fontId="36" fillId="0" borderId="38" xfId="0" applyFont="1" applyBorder="1" applyAlignment="1">
      <alignment vertical="center" wrapText="1"/>
    </xf>
    <xf numFmtId="0" fontId="36" fillId="0" borderId="40" xfId="0" applyFont="1" applyBorder="1" applyAlignment="1">
      <alignment vertical="center" wrapText="1"/>
    </xf>
    <xf numFmtId="0" fontId="37" fillId="0" borderId="46" xfId="0" applyFont="1" applyBorder="1" applyAlignment="1">
      <alignment horizontal="center" vertical="center" wrapText="1"/>
    </xf>
    <xf numFmtId="0" fontId="36" fillId="0" borderId="46" xfId="0" applyFont="1" applyBorder="1" applyAlignment="1">
      <alignment vertical="center" wrapText="1"/>
    </xf>
    <xf numFmtId="0" fontId="36" fillId="0" borderId="41" xfId="0" applyFont="1" applyBorder="1" applyAlignment="1">
      <alignment vertical="center" wrapText="1"/>
    </xf>
    <xf numFmtId="0" fontId="36" fillId="0" borderId="44" xfId="0" applyFont="1" applyBorder="1" applyAlignment="1">
      <alignment vertical="center" wrapText="1"/>
    </xf>
    <xf numFmtId="0" fontId="36" fillId="0" borderId="54" xfId="0" applyFont="1" applyBorder="1" applyAlignment="1">
      <alignment horizontal="center" vertical="center" wrapText="1"/>
    </xf>
    <xf numFmtId="0" fontId="36" fillId="0" borderId="39" xfId="0" applyFont="1" applyBorder="1" applyAlignment="1">
      <alignment horizontal="center" vertical="center" wrapText="1"/>
    </xf>
    <xf numFmtId="0" fontId="36" fillId="0" borderId="51" xfId="0" applyFont="1" applyBorder="1" applyAlignment="1">
      <alignment horizontal="center" vertical="center" wrapText="1"/>
    </xf>
    <xf numFmtId="0" fontId="36" fillId="0" borderId="7" xfId="0" applyFont="1" applyBorder="1" applyAlignment="1">
      <alignment horizontal="center" vertical="center" wrapText="1"/>
    </xf>
    <xf numFmtId="0" fontId="36" fillId="0" borderId="133" xfId="0" applyFont="1" applyBorder="1" applyAlignment="1">
      <alignment vertical="center" wrapText="1"/>
    </xf>
    <xf numFmtId="0" fontId="36" fillId="0" borderId="132" xfId="0" applyFont="1" applyBorder="1" applyAlignment="1">
      <alignment vertical="center" wrapText="1"/>
    </xf>
    <xf numFmtId="0" fontId="36" fillId="0" borderId="78" xfId="0" applyFont="1" applyBorder="1" applyAlignment="1">
      <alignment horizontal="center" vertical="center" wrapText="1"/>
    </xf>
    <xf numFmtId="0" fontId="36" fillId="0" borderId="77" xfId="0" applyFont="1" applyBorder="1" applyAlignment="1">
      <alignment horizontal="center" vertical="center" wrapText="1"/>
    </xf>
    <xf numFmtId="0" fontId="36" fillId="0" borderId="79" xfId="0" applyFont="1" applyBorder="1" applyAlignment="1">
      <alignment horizontal="center" vertical="center" wrapText="1"/>
    </xf>
    <xf numFmtId="0" fontId="36" fillId="0" borderId="111" xfId="0" applyFont="1" applyBorder="1" applyAlignment="1">
      <alignment vertical="center" wrapText="1"/>
    </xf>
    <xf numFmtId="0" fontId="36" fillId="0" borderId="112" xfId="0" applyFont="1" applyBorder="1" applyAlignment="1">
      <alignment vertical="center" wrapText="1"/>
    </xf>
    <xf numFmtId="0" fontId="36" fillId="0" borderId="113" xfId="0" applyFont="1" applyBorder="1" applyAlignment="1">
      <alignment vertical="center" wrapText="1"/>
    </xf>
    <xf numFmtId="0" fontId="36" fillId="0" borderId="114" xfId="0" applyFont="1" applyBorder="1" applyAlignment="1">
      <alignment vertical="center" wrapText="1"/>
    </xf>
    <xf numFmtId="0" fontId="36" fillId="0" borderId="115" xfId="0" applyFont="1" applyBorder="1" applyAlignment="1">
      <alignment vertical="center" wrapText="1"/>
    </xf>
    <xf numFmtId="0" fontId="36" fillId="0" borderId="72" xfId="0" applyFont="1" applyBorder="1" applyAlignment="1">
      <alignment vertical="center" wrapText="1"/>
    </xf>
    <xf numFmtId="0" fontId="36" fillId="0" borderId="81" xfId="0" applyFont="1" applyBorder="1" applyAlignment="1">
      <alignment horizontal="center" vertical="center" wrapText="1"/>
    </xf>
    <xf numFmtId="0" fontId="36" fillId="0" borderId="79" xfId="0" applyFont="1" applyBorder="1" applyAlignment="1">
      <alignment horizontal="center" vertical="center"/>
    </xf>
    <xf numFmtId="0" fontId="36" fillId="0" borderId="137" xfId="0" applyFont="1" applyBorder="1" applyAlignment="1">
      <alignment horizontal="center" vertical="center"/>
    </xf>
    <xf numFmtId="0" fontId="36" fillId="0" borderId="133" xfId="0" applyFont="1" applyBorder="1" applyAlignment="1">
      <alignment horizontal="center" vertical="center"/>
    </xf>
    <xf numFmtId="0" fontId="36" fillId="0" borderId="138" xfId="0" applyFont="1" applyBorder="1" applyAlignment="1">
      <alignment vertical="center" wrapText="1"/>
    </xf>
    <xf numFmtId="0" fontId="36" fillId="0" borderId="139" xfId="0" applyFont="1" applyBorder="1" applyAlignment="1">
      <alignment vertical="center" wrapText="1"/>
    </xf>
    <xf numFmtId="0" fontId="38" fillId="0" borderId="8" xfId="2" applyFont="1" applyFill="1" applyBorder="1" applyAlignment="1">
      <alignment vertical="top"/>
    </xf>
    <xf numFmtId="0" fontId="38" fillId="0" borderId="10" xfId="2" applyFont="1" applyFill="1" applyBorder="1" applyAlignment="1">
      <alignment vertical="top"/>
    </xf>
    <xf numFmtId="0" fontId="38" fillId="0" borderId="125" xfId="2" applyFont="1" applyFill="1" applyBorder="1" applyAlignment="1">
      <alignment vertical="top"/>
    </xf>
    <xf numFmtId="0" fontId="2" fillId="18" borderId="38" xfId="0" applyFont="1" applyFill="1" applyBorder="1" applyAlignment="1">
      <alignment vertical="top"/>
    </xf>
    <xf numFmtId="0" fontId="2" fillId="18" borderId="140" xfId="0" applyFont="1" applyFill="1" applyBorder="1" applyAlignment="1">
      <alignment vertical="top"/>
    </xf>
    <xf numFmtId="0" fontId="2" fillId="18" borderId="2" xfId="0" applyFont="1" applyFill="1" applyBorder="1" applyAlignment="1">
      <alignment vertical="top"/>
    </xf>
    <xf numFmtId="0" fontId="2" fillId="18" borderId="141" xfId="0" applyFont="1" applyFill="1" applyBorder="1" applyAlignment="1">
      <alignment vertical="top"/>
    </xf>
    <xf numFmtId="0" fontId="2" fillId="18" borderId="142" xfId="0" applyFont="1" applyFill="1" applyBorder="1" applyAlignment="1">
      <alignment vertical="top"/>
    </xf>
    <xf numFmtId="0" fontId="2" fillId="18" borderId="143" xfId="0" applyFont="1" applyFill="1" applyBorder="1" applyAlignment="1">
      <alignment vertical="top"/>
    </xf>
    <xf numFmtId="0" fontId="2" fillId="18" borderId="144" xfId="0" applyFont="1" applyFill="1" applyBorder="1" applyAlignment="1">
      <alignment vertical="top"/>
    </xf>
    <xf numFmtId="0" fontId="14" fillId="2" borderId="37" xfId="0" applyFont="1" applyFill="1" applyBorder="1" applyAlignment="1">
      <alignment horizontal="center" vertical="center" wrapText="1"/>
    </xf>
    <xf numFmtId="0" fontId="15" fillId="0" borderId="2" xfId="0" applyFont="1" applyBorder="1" applyAlignment="1">
      <alignment horizontal="center" vertical="center"/>
    </xf>
    <xf numFmtId="0" fontId="15" fillId="0" borderId="147" xfId="0" applyFont="1" applyBorder="1" applyAlignment="1">
      <alignment horizontal="center" vertical="center"/>
    </xf>
    <xf numFmtId="0" fontId="31" fillId="6" borderId="146" xfId="0" applyFont="1" applyFill="1" applyBorder="1" applyAlignment="1">
      <alignment horizontal="center" vertical="center" wrapText="1"/>
    </xf>
    <xf numFmtId="2" fontId="0" fillId="0" borderId="147" xfId="0" applyNumberFormat="1" applyBorder="1"/>
    <xf numFmtId="0" fontId="2" fillId="0" borderId="10" xfId="0" applyFont="1" applyBorder="1" applyAlignment="1">
      <alignment horizontal="left" vertical="top"/>
    </xf>
    <xf numFmtId="0" fontId="14" fillId="2" borderId="145" xfId="0" applyFont="1" applyFill="1" applyBorder="1" applyAlignment="1">
      <alignment horizontal="center" vertical="center" wrapText="1"/>
    </xf>
    <xf numFmtId="16" fontId="0" fillId="0" borderId="0" xfId="0" applyNumberFormat="1"/>
    <xf numFmtId="0" fontId="31" fillId="15" borderId="146" xfId="0" applyFont="1" applyFill="1" applyBorder="1" applyAlignment="1">
      <alignment horizontal="center" vertical="center" wrapText="1"/>
    </xf>
    <xf numFmtId="0" fontId="2" fillId="11" borderId="11" xfId="0" applyFont="1" applyFill="1" applyBorder="1" applyAlignment="1">
      <alignment vertical="top" wrapText="1"/>
    </xf>
    <xf numFmtId="0" fontId="15" fillId="0" borderId="38" xfId="0" applyFont="1" applyBorder="1" applyAlignment="1">
      <alignment horizontal="center" vertical="center"/>
    </xf>
    <xf numFmtId="0" fontId="15" fillId="0" borderId="40" xfId="0" applyFont="1" applyBorder="1" applyAlignment="1">
      <alignment horizontal="center" vertical="center"/>
    </xf>
    <xf numFmtId="0" fontId="15" fillId="0" borderId="148" xfId="0" applyFont="1" applyBorder="1" applyAlignment="1">
      <alignment horizontal="center" vertical="center"/>
    </xf>
    <xf numFmtId="2" fontId="0" fillId="0" borderId="148" xfId="0" applyNumberFormat="1" applyBorder="1"/>
    <xf numFmtId="0" fontId="31" fillId="6" borderId="0" xfId="0" applyFont="1" applyFill="1" applyAlignment="1">
      <alignment horizontal="center" vertical="center" wrapText="1"/>
    </xf>
    <xf numFmtId="0" fontId="31" fillId="15" borderId="0" xfId="0" applyFont="1" applyFill="1" applyAlignment="1">
      <alignment horizontal="center" vertical="center" wrapText="1"/>
    </xf>
    <xf numFmtId="0" fontId="15" fillId="0" borderId="0" xfId="0" applyFont="1" applyAlignment="1">
      <alignment horizontal="center" vertical="center"/>
    </xf>
    <xf numFmtId="2" fontId="0" fillId="0" borderId="40" xfId="0" applyNumberFormat="1" applyBorder="1"/>
    <xf numFmtId="0" fontId="14" fillId="7" borderId="1" xfId="0" applyFont="1" applyFill="1" applyBorder="1" applyAlignment="1">
      <alignment horizontal="left" vertical="center" wrapText="1"/>
    </xf>
    <xf numFmtId="0" fontId="14" fillId="3" borderId="9" xfId="0" applyFont="1" applyFill="1" applyBorder="1" applyAlignment="1">
      <alignment horizontal="left" vertical="center" wrapText="1"/>
    </xf>
    <xf numFmtId="0" fontId="14" fillId="3" borderId="10" xfId="0" applyFont="1" applyFill="1" applyBorder="1" applyAlignment="1">
      <alignment horizontal="left" vertical="center" wrapText="1"/>
    </xf>
    <xf numFmtId="0" fontId="14" fillId="4" borderId="9" xfId="0" applyFont="1" applyFill="1" applyBorder="1" applyAlignment="1">
      <alignment horizontal="left" vertical="center" wrapText="1"/>
    </xf>
    <xf numFmtId="0" fontId="14" fillId="4" borderId="10" xfId="0" applyFont="1" applyFill="1" applyBorder="1" applyAlignment="1">
      <alignment horizontal="left" vertical="center" wrapText="1"/>
    </xf>
    <xf numFmtId="0" fontId="14" fillId="4" borderId="11" xfId="0" applyFont="1" applyFill="1" applyBorder="1" applyAlignment="1">
      <alignment horizontal="left" vertical="center" wrapText="1"/>
    </xf>
    <xf numFmtId="0" fontId="14" fillId="5" borderId="9" xfId="0" applyFont="1" applyFill="1" applyBorder="1" applyAlignment="1">
      <alignment horizontal="left" vertical="center" wrapText="1"/>
    </xf>
    <xf numFmtId="0" fontId="14" fillId="5" borderId="11" xfId="0" applyFont="1" applyFill="1" applyBorder="1" applyAlignment="1">
      <alignment horizontal="left" vertical="center" wrapText="1"/>
    </xf>
    <xf numFmtId="0" fontId="13" fillId="0" borderId="0" xfId="0" applyFont="1" applyAlignment="1">
      <alignment vertical="top" wrapText="1"/>
    </xf>
    <xf numFmtId="0" fontId="29" fillId="17" borderId="105" xfId="0" applyFont="1" applyFill="1" applyBorder="1" applyAlignment="1">
      <alignment horizontal="center" vertical="center" wrapText="1"/>
    </xf>
    <xf numFmtId="0" fontId="29" fillId="17" borderId="106"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2" xfId="0" applyFont="1" applyFill="1" applyBorder="1" applyAlignment="1">
      <alignment horizontal="center" vertical="center" wrapText="1"/>
    </xf>
    <xf numFmtId="0" fontId="29" fillId="17" borderId="103" xfId="0" applyFont="1" applyFill="1" applyBorder="1" applyAlignment="1">
      <alignment horizontal="center" vertical="center" wrapText="1"/>
    </xf>
    <xf numFmtId="0" fontId="29" fillId="17" borderId="108" xfId="0" applyFont="1" applyFill="1" applyBorder="1" applyAlignment="1">
      <alignment horizontal="center" vertical="center" wrapText="1"/>
    </xf>
    <xf numFmtId="0" fontId="1" fillId="0" borderId="9" xfId="0" applyFont="1" applyBorder="1" applyAlignment="1">
      <alignment horizontal="center" vertical="center"/>
    </xf>
    <xf numFmtId="0" fontId="1" fillId="0" borderId="10" xfId="0" applyFont="1" applyBorder="1" applyAlignment="1">
      <alignment horizontal="center" vertical="center"/>
    </xf>
    <xf numFmtId="0" fontId="1" fillId="0" borderId="11"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11" xfId="0" applyFont="1" applyBorder="1" applyAlignment="1">
      <alignment horizontal="center" vertical="center" wrapText="1"/>
    </xf>
    <xf numFmtId="0" fontId="6" fillId="2" borderId="39" xfId="0" applyFont="1" applyFill="1" applyBorder="1" applyAlignment="1">
      <alignment horizontal="center" vertical="center" wrapText="1"/>
    </xf>
    <xf numFmtId="0" fontId="6" fillId="2" borderId="0" xfId="0" applyFont="1" applyFill="1" applyAlignment="1">
      <alignment horizontal="center" vertical="center" wrapText="1"/>
    </xf>
    <xf numFmtId="0" fontId="6" fillId="5" borderId="39" xfId="0" applyFont="1" applyFill="1" applyBorder="1" applyAlignment="1">
      <alignment horizontal="center" vertical="center" wrapText="1"/>
    </xf>
    <xf numFmtId="0" fontId="6" fillId="5" borderId="0" xfId="0" applyFont="1" applyFill="1" applyAlignment="1">
      <alignment horizontal="center" vertical="center" wrapText="1"/>
    </xf>
    <xf numFmtId="0" fontId="29" fillId="17" borderId="100" xfId="0" applyFont="1" applyFill="1" applyBorder="1" applyAlignment="1">
      <alignment horizontal="center" vertical="center" wrapText="1"/>
    </xf>
    <xf numFmtId="0" fontId="29" fillId="17" borderId="101" xfId="0" applyFont="1" applyFill="1" applyBorder="1" applyAlignment="1">
      <alignment horizontal="center" vertical="center" wrapText="1"/>
    </xf>
    <xf numFmtId="0" fontId="18" fillId="0" borderId="0" xfId="0" applyFont="1" applyAlignment="1">
      <alignment horizontal="center" vertical="center" wrapText="1"/>
    </xf>
    <xf numFmtId="0" fontId="18" fillId="0" borderId="40" xfId="0" applyFont="1" applyBorder="1" applyAlignment="1">
      <alignment horizontal="center" vertical="center" wrapText="1"/>
    </xf>
    <xf numFmtId="0" fontId="18" fillId="0" borderId="8" xfId="0" applyFont="1" applyBorder="1" applyAlignment="1">
      <alignment horizontal="center" vertical="center" wrapText="1"/>
    </xf>
    <xf numFmtId="0" fontId="18" fillId="0" borderId="41" xfId="0" applyFont="1" applyBorder="1" applyAlignment="1">
      <alignment horizontal="center" vertical="center" wrapText="1"/>
    </xf>
    <xf numFmtId="0" fontId="18" fillId="0" borderId="53" xfId="0" applyFont="1" applyBorder="1" applyAlignment="1">
      <alignment horizontal="center" vertical="center" wrapText="1"/>
    </xf>
    <xf numFmtId="0" fontId="18" fillId="0" borderId="44" xfId="0" applyFont="1" applyBorder="1" applyAlignment="1">
      <alignment horizontal="center" vertical="center" wrapText="1"/>
    </xf>
    <xf numFmtId="0" fontId="18" fillId="0" borderId="50" xfId="0" applyFont="1" applyBorder="1" applyAlignment="1">
      <alignment horizontal="center" vertical="center" wrapText="1"/>
    </xf>
    <xf numFmtId="0" fontId="18" fillId="0" borderId="46" xfId="0" applyFont="1" applyBorder="1" applyAlignment="1">
      <alignment horizontal="center" vertical="center" wrapText="1"/>
    </xf>
    <xf numFmtId="0" fontId="0" fillId="0" borderId="12" xfId="0" applyBorder="1" applyAlignment="1">
      <alignment horizontal="left" vertical="center"/>
    </xf>
    <xf numFmtId="0" fontId="0" fillId="0" borderId="11" xfId="0" applyBorder="1" applyAlignment="1">
      <alignment horizontal="left" vertical="center"/>
    </xf>
    <xf numFmtId="0" fontId="18" fillId="0" borderId="48" xfId="0" applyFont="1" applyBorder="1" applyAlignment="1">
      <alignment horizontal="center" vertical="center" wrapText="1"/>
    </xf>
    <xf numFmtId="0" fontId="18" fillId="0" borderId="38" xfId="0" applyFont="1" applyBorder="1" applyAlignment="1">
      <alignment horizontal="center" vertical="center" wrapText="1"/>
    </xf>
    <xf numFmtId="0" fontId="0" fillId="0" borderId="12" xfId="0" applyBorder="1" applyAlignment="1">
      <alignment horizontal="right" vertical="center"/>
    </xf>
    <xf numFmtId="0" fontId="0" fillId="0" borderId="11" xfId="0" applyBorder="1" applyAlignment="1">
      <alignment horizontal="right" vertical="center"/>
    </xf>
    <xf numFmtId="0" fontId="0" fillId="0" borderId="12" xfId="0" applyBorder="1" applyAlignment="1">
      <alignment horizontal="left" vertical="center" wrapText="1"/>
    </xf>
    <xf numFmtId="0" fontId="0" fillId="0" borderId="11" xfId="0" applyBorder="1" applyAlignment="1">
      <alignment horizontal="left" vertical="center" wrapText="1"/>
    </xf>
    <xf numFmtId="0" fontId="0" fillId="18" borderId="12" xfId="0" applyFill="1" applyBorder="1" applyAlignment="1">
      <alignment horizontal="left" vertical="center"/>
    </xf>
    <xf numFmtId="0" fontId="0" fillId="18" borderId="11" xfId="0" applyFill="1" applyBorder="1" applyAlignment="1">
      <alignment horizontal="left" vertical="center"/>
    </xf>
    <xf numFmtId="0" fontId="0" fillId="0" borderId="59" xfId="0" applyBorder="1" applyAlignment="1">
      <alignment horizontal="right" vertical="center"/>
    </xf>
    <xf numFmtId="0" fontId="0" fillId="0" borderId="59" xfId="0" applyBorder="1" applyAlignment="1">
      <alignment horizontal="left" vertical="center" wrapText="1"/>
    </xf>
    <xf numFmtId="0" fontId="0" fillId="18" borderId="59" xfId="0" applyFill="1" applyBorder="1" applyAlignment="1">
      <alignment horizontal="left" vertical="center"/>
    </xf>
    <xf numFmtId="0" fontId="0" fillId="0" borderId="59" xfId="0" applyBorder="1" applyAlignment="1">
      <alignment horizontal="left" vertical="center"/>
    </xf>
    <xf numFmtId="0" fontId="0" fillId="0" borderId="10" xfId="0" applyBorder="1" applyAlignment="1">
      <alignment horizontal="left" vertical="center"/>
    </xf>
    <xf numFmtId="0" fontId="0" fillId="0" borderId="10" xfId="0" applyBorder="1" applyAlignment="1">
      <alignment horizontal="right" vertical="center"/>
    </xf>
    <xf numFmtId="0" fontId="0" fillId="0" borderId="10" xfId="0" applyBorder="1" applyAlignment="1">
      <alignment horizontal="left" vertical="center" wrapText="1"/>
    </xf>
    <xf numFmtId="0" fontId="0" fillId="18" borderId="10" xfId="0" applyFill="1" applyBorder="1" applyAlignment="1">
      <alignment horizontal="left" vertical="center"/>
    </xf>
    <xf numFmtId="0" fontId="18" fillId="0" borderId="0" xfId="0" applyFont="1" applyAlignment="1">
      <alignment horizontal="center" vertical="center"/>
    </xf>
    <xf numFmtId="0" fontId="0" fillId="0" borderId="8" xfId="0" applyBorder="1" applyAlignment="1">
      <alignment horizontal="center" vertical="center"/>
    </xf>
    <xf numFmtId="0" fontId="0" fillId="0" borderId="41" xfId="0" applyBorder="1" applyAlignment="1">
      <alignment horizontal="center" vertical="center"/>
    </xf>
    <xf numFmtId="0" fontId="0" fillId="0" borderId="0" xfId="0" applyAlignment="1">
      <alignment horizontal="center" vertical="center"/>
    </xf>
    <xf numFmtId="0" fontId="0" fillId="0" borderId="40" xfId="0" applyBorder="1" applyAlignment="1">
      <alignment horizontal="center" vertical="center"/>
    </xf>
    <xf numFmtId="0" fontId="0" fillId="0" borderId="50" xfId="0" applyBorder="1" applyAlignment="1">
      <alignment horizontal="center" vertical="center"/>
    </xf>
    <xf numFmtId="0" fontId="0" fillId="0" borderId="46" xfId="0" applyBorder="1" applyAlignment="1">
      <alignment horizontal="center" vertical="center"/>
    </xf>
    <xf numFmtId="0" fontId="0" fillId="0" borderId="53" xfId="0" applyBorder="1" applyAlignment="1">
      <alignment horizontal="center" vertical="center"/>
    </xf>
    <xf numFmtId="0" fontId="0" fillId="0" borderId="44" xfId="0" applyBorder="1" applyAlignment="1">
      <alignment horizontal="center" vertical="center"/>
    </xf>
    <xf numFmtId="0" fontId="6" fillId="5" borderId="1" xfId="0" applyFont="1" applyFill="1" applyBorder="1" applyAlignment="1">
      <alignment horizontal="center" vertical="center"/>
    </xf>
    <xf numFmtId="0" fontId="7" fillId="2" borderId="34" xfId="0" applyFont="1" applyFill="1" applyBorder="1" applyAlignment="1">
      <alignment horizontal="right" vertical="center" textRotation="90" wrapText="1"/>
    </xf>
    <xf numFmtId="0" fontId="7" fillId="2" borderId="47" xfId="0" applyFont="1" applyFill="1" applyBorder="1" applyAlignment="1">
      <alignment horizontal="right" vertical="center" textRotation="90" wrapText="1"/>
    </xf>
    <xf numFmtId="0" fontId="7" fillId="2" borderId="57" xfId="0" applyFont="1" applyFill="1" applyBorder="1" applyAlignment="1">
      <alignment horizontal="right" vertical="center" textRotation="90" wrapText="1"/>
    </xf>
    <xf numFmtId="0" fontId="7" fillId="2" borderId="55" xfId="0" applyFont="1" applyFill="1" applyBorder="1" applyAlignment="1">
      <alignment horizontal="right" vertical="center" textRotation="90" wrapText="1"/>
    </xf>
    <xf numFmtId="0" fontId="29" fillId="17" borderId="102" xfId="0" applyFont="1" applyFill="1" applyBorder="1" applyAlignment="1">
      <alignment horizontal="center" vertical="center" wrapText="1"/>
    </xf>
    <xf numFmtId="0" fontId="29" fillId="17" borderId="90" xfId="0" applyFont="1" applyFill="1" applyBorder="1" applyAlignment="1">
      <alignment horizontal="center" vertical="center" wrapText="1"/>
    </xf>
    <xf numFmtId="0" fontId="23" fillId="2" borderId="9" xfId="0" applyFont="1" applyFill="1" applyBorder="1" applyAlignment="1">
      <alignment horizontal="center" vertical="center" wrapText="1"/>
    </xf>
    <xf numFmtId="0" fontId="23" fillId="2" borderId="10" xfId="0" applyFont="1" applyFill="1" applyBorder="1" applyAlignment="1">
      <alignment horizontal="center" vertical="center" wrapText="1"/>
    </xf>
    <xf numFmtId="0" fontId="23" fillId="2" borderId="11" xfId="0" applyFont="1" applyFill="1" applyBorder="1" applyAlignment="1">
      <alignment horizontal="center" vertical="center" wrapText="1"/>
    </xf>
    <xf numFmtId="0" fontId="23" fillId="2" borderId="2" xfId="0" applyFont="1" applyFill="1" applyBorder="1" applyAlignment="1">
      <alignment horizontal="center" vertical="center" wrapText="1"/>
    </xf>
    <xf numFmtId="0" fontId="23" fillId="2" borderId="3" xfId="0" applyFont="1" applyFill="1" applyBorder="1" applyAlignment="1">
      <alignment horizontal="center" vertical="center" wrapText="1"/>
    </xf>
    <xf numFmtId="0" fontId="23" fillId="2" borderId="4" xfId="0" applyFont="1" applyFill="1" applyBorder="1" applyAlignment="1">
      <alignment horizontal="center" vertical="center" wrapText="1"/>
    </xf>
    <xf numFmtId="0" fontId="26" fillId="2" borderId="26" xfId="0" applyFont="1" applyFill="1" applyBorder="1" applyAlignment="1">
      <alignment horizontal="center" vertical="center" textRotation="90" wrapText="1"/>
    </xf>
    <xf numFmtId="0" fontId="23" fillId="2" borderId="47" xfId="0" applyFont="1" applyFill="1" applyBorder="1" applyAlignment="1">
      <alignment horizontal="center" vertical="center" textRotation="90" wrapText="1"/>
    </xf>
    <xf numFmtId="0" fontId="26" fillId="2" borderId="64" xfId="0" applyFont="1" applyFill="1" applyBorder="1" applyAlignment="1">
      <alignment horizontal="center" vertical="center" textRotation="90" wrapText="1"/>
    </xf>
    <xf numFmtId="0" fontId="23" fillId="2" borderId="43" xfId="0" applyFont="1" applyFill="1" applyBorder="1" applyAlignment="1">
      <alignment horizontal="center" vertical="center" textRotation="90" wrapText="1"/>
    </xf>
    <xf numFmtId="0" fontId="26" fillId="2" borderId="7" xfId="0" applyFont="1" applyFill="1" applyBorder="1" applyAlignment="1">
      <alignment horizontal="center" vertical="center" textRotation="90" wrapText="1"/>
    </xf>
    <xf numFmtId="0" fontId="23" fillId="2" borderId="41" xfId="0" applyFont="1" applyFill="1" applyBorder="1" applyAlignment="1">
      <alignment horizontal="center" vertical="center" textRotation="90" wrapText="1"/>
    </xf>
    <xf numFmtId="0" fontId="18" fillId="0" borderId="40" xfId="0" applyFont="1" applyBorder="1" applyAlignment="1">
      <alignment horizontal="center" vertical="center"/>
    </xf>
    <xf numFmtId="0" fontId="24" fillId="2" borderId="2" xfId="0" applyFont="1" applyFill="1" applyBorder="1" applyAlignment="1">
      <alignment horizontal="center" vertical="top" wrapText="1"/>
    </xf>
    <xf numFmtId="0" fontId="24" fillId="2" borderId="4" xfId="0" applyFont="1" applyFill="1" applyBorder="1" applyAlignment="1">
      <alignment horizontal="center" vertical="top" wrapText="1"/>
    </xf>
    <xf numFmtId="0" fontId="6" fillId="2" borderId="6" xfId="0" applyFont="1" applyFill="1" applyBorder="1" applyAlignment="1">
      <alignment horizontal="center" vertical="center"/>
    </xf>
    <xf numFmtId="0" fontId="6" fillId="2" borderId="3" xfId="0" applyFont="1" applyFill="1" applyBorder="1" applyAlignment="1">
      <alignment horizontal="center" vertical="center"/>
    </xf>
    <xf numFmtId="0" fontId="6" fillId="2" borderId="4" xfId="0" applyFont="1" applyFill="1" applyBorder="1" applyAlignment="1">
      <alignment horizontal="center" vertical="center"/>
    </xf>
    <xf numFmtId="0" fontId="11" fillId="2" borderId="52" xfId="0" applyFont="1" applyFill="1" applyBorder="1" applyAlignment="1">
      <alignment horizontal="center" vertical="center"/>
    </xf>
    <xf numFmtId="0" fontId="11" fillId="2" borderId="42" xfId="0" applyFont="1" applyFill="1" applyBorder="1" applyAlignment="1">
      <alignment horizontal="center" vertical="center"/>
    </xf>
    <xf numFmtId="0" fontId="11" fillId="2" borderId="49" xfId="0" applyFont="1" applyFill="1" applyBorder="1" applyAlignment="1">
      <alignment horizontal="center" vertical="center"/>
    </xf>
    <xf numFmtId="0" fontId="11" fillId="2" borderId="45" xfId="0" applyFont="1" applyFill="1" applyBorder="1" applyAlignment="1">
      <alignment horizontal="center" vertical="center"/>
    </xf>
    <xf numFmtId="0" fontId="14" fillId="2" borderId="9" xfId="0" applyFont="1" applyFill="1" applyBorder="1" applyAlignment="1">
      <alignment horizontal="center" vertical="center"/>
    </xf>
    <xf numFmtId="0" fontId="14" fillId="2" borderId="11" xfId="0" applyFont="1" applyFill="1" applyBorder="1" applyAlignment="1">
      <alignment horizontal="center" vertical="center"/>
    </xf>
    <xf numFmtId="0" fontId="14" fillId="2" borderId="2" xfId="0" applyFont="1" applyFill="1" applyBorder="1" applyAlignment="1">
      <alignment horizontal="center" vertical="center"/>
    </xf>
    <xf numFmtId="0" fontId="14" fillId="2" borderId="3" xfId="0" applyFont="1" applyFill="1" applyBorder="1" applyAlignment="1">
      <alignment horizontal="center" vertical="center"/>
    </xf>
    <xf numFmtId="0" fontId="14" fillId="2" borderId="4" xfId="0" applyFont="1" applyFill="1" applyBorder="1" applyAlignment="1">
      <alignment horizontal="center" vertical="center"/>
    </xf>
    <xf numFmtId="0" fontId="14" fillId="2" borderId="89" xfId="0" applyFont="1" applyFill="1" applyBorder="1" applyAlignment="1">
      <alignment horizontal="center" vertical="center" wrapText="1"/>
    </xf>
    <xf numFmtId="0" fontId="14" fillId="2" borderId="90" xfId="0" applyFont="1" applyFill="1" applyBorder="1" applyAlignment="1">
      <alignment horizontal="center" vertical="center" wrapText="1"/>
    </xf>
    <xf numFmtId="0" fontId="29" fillId="17" borderId="92" xfId="0" applyFont="1" applyFill="1" applyBorder="1" applyAlignment="1">
      <alignment horizontal="center" vertical="center" wrapText="1"/>
    </xf>
    <xf numFmtId="0" fontId="29" fillId="17" borderId="88" xfId="0" applyFont="1" applyFill="1" applyBorder="1" applyAlignment="1">
      <alignment horizontal="center" vertical="center" wrapText="1"/>
    </xf>
    <xf numFmtId="0" fontId="14" fillId="3" borderId="11" xfId="0" applyFont="1" applyFill="1" applyBorder="1" applyAlignment="1">
      <alignment horizontal="left" vertical="center" wrapText="1"/>
    </xf>
    <xf numFmtId="0" fontId="31" fillId="0" borderId="127" xfId="0" applyFont="1" applyBorder="1" applyAlignment="1">
      <alignment horizontal="center" vertical="center" wrapText="1"/>
    </xf>
    <xf numFmtId="0" fontId="31" fillId="0" borderId="128" xfId="0" applyFont="1" applyBorder="1" applyAlignment="1">
      <alignment horizontal="center" vertical="center" wrapText="1"/>
    </xf>
    <xf numFmtId="0" fontId="31" fillId="0" borderId="129" xfId="0" applyFont="1" applyBorder="1" applyAlignment="1">
      <alignment horizontal="center" vertical="center" wrapText="1"/>
    </xf>
    <xf numFmtId="0" fontId="31" fillId="0" borderId="131" xfId="0" applyFont="1" applyBorder="1" applyAlignment="1">
      <alignment horizontal="center" vertical="center" wrapText="1"/>
    </xf>
    <xf numFmtId="0" fontId="2" fillId="8" borderId="10" xfId="0" applyFont="1" applyFill="1" applyBorder="1" applyAlignment="1">
      <alignment vertical="center" wrapText="1"/>
    </xf>
    <xf numFmtId="0" fontId="2" fillId="8" borderId="71" xfId="0" applyFont="1" applyFill="1" applyBorder="1" applyAlignment="1">
      <alignment vertical="center" wrapText="1"/>
    </xf>
    <xf numFmtId="0" fontId="2" fillId="8" borderId="74" xfId="0" applyFont="1" applyFill="1" applyBorder="1" applyAlignment="1">
      <alignment vertical="center" wrapText="1"/>
    </xf>
    <xf numFmtId="0" fontId="14" fillId="19" borderId="37" xfId="0" applyFont="1" applyFill="1" applyBorder="1" applyAlignment="1">
      <alignment horizontal="center" vertical="center" textRotation="90" wrapText="1"/>
    </xf>
    <xf numFmtId="0" fontId="14" fillId="19" borderId="48" xfId="0" applyFont="1" applyFill="1" applyBorder="1" applyAlignment="1">
      <alignment horizontal="center" vertical="center" textRotation="90" wrapText="1"/>
    </xf>
    <xf numFmtId="0" fontId="31" fillId="0" borderId="116" xfId="0" applyFont="1" applyBorder="1" applyAlignment="1">
      <alignment horizontal="center" vertical="center" wrapText="1"/>
    </xf>
    <xf numFmtId="0" fontId="31" fillId="0" borderId="124" xfId="0" applyFont="1" applyBorder="1" applyAlignment="1">
      <alignment horizontal="center" vertical="center" wrapText="1"/>
    </xf>
    <xf numFmtId="0" fontId="31" fillId="0" borderId="126" xfId="0" applyFont="1" applyBorder="1" applyAlignment="1">
      <alignment horizontal="center" vertical="center" wrapText="1"/>
    </xf>
    <xf numFmtId="0" fontId="2" fillId="8" borderId="117" xfId="0" applyFont="1" applyFill="1" applyBorder="1" applyAlignment="1">
      <alignment horizontal="center" vertical="center" wrapText="1"/>
    </xf>
    <xf numFmtId="0" fontId="2" fillId="8" borderId="10" xfId="0" applyFont="1" applyFill="1" applyBorder="1" applyAlignment="1">
      <alignment horizontal="center" vertical="center" wrapText="1"/>
    </xf>
    <xf numFmtId="0" fontId="2" fillId="8" borderId="71" xfId="0" applyFont="1" applyFill="1" applyBorder="1" applyAlignment="1">
      <alignment horizontal="center" vertical="center" wrapText="1"/>
    </xf>
    <xf numFmtId="0" fontId="2" fillId="10" borderId="74" xfId="0" applyFont="1" applyFill="1" applyBorder="1" applyAlignment="1">
      <alignment horizontal="left" vertical="center" wrapText="1"/>
    </xf>
    <xf numFmtId="0" fontId="2" fillId="10" borderId="10" xfId="0" applyFont="1" applyFill="1" applyBorder="1" applyAlignment="1">
      <alignment horizontal="left" vertical="center" wrapText="1"/>
    </xf>
    <xf numFmtId="0" fontId="2" fillId="10" borderId="71" xfId="0" applyFont="1" applyFill="1" applyBorder="1" applyAlignment="1">
      <alignment horizontal="left" vertical="center" wrapText="1"/>
    </xf>
    <xf numFmtId="0" fontId="2" fillId="10" borderId="8" xfId="0" applyFont="1" applyFill="1" applyBorder="1" applyAlignment="1">
      <alignment vertical="center" wrapText="1"/>
    </xf>
    <xf numFmtId="0" fontId="2" fillId="10" borderId="79" xfId="0" applyFont="1" applyFill="1" applyBorder="1" applyAlignment="1">
      <alignment vertical="center" wrapText="1"/>
    </xf>
    <xf numFmtId="0" fontId="2" fillId="10" borderId="74" xfId="0" applyFont="1" applyFill="1" applyBorder="1" applyAlignment="1">
      <alignment vertical="center" wrapText="1"/>
    </xf>
    <xf numFmtId="0" fontId="2" fillId="10" borderId="10" xfId="0" applyFont="1" applyFill="1" applyBorder="1" applyAlignment="1">
      <alignment vertical="center" wrapText="1"/>
    </xf>
    <xf numFmtId="0" fontId="2" fillId="10" borderId="71" xfId="0" applyFont="1" applyFill="1" applyBorder="1" applyAlignment="1">
      <alignment vertical="center" wrapText="1"/>
    </xf>
    <xf numFmtId="0" fontId="2" fillId="9" borderId="10" xfId="0" applyFont="1" applyFill="1" applyBorder="1" applyAlignment="1">
      <alignment vertical="center" wrapText="1"/>
    </xf>
    <xf numFmtId="0" fontId="2" fillId="9" borderId="71" xfId="0" applyFont="1" applyFill="1" applyBorder="1" applyAlignment="1">
      <alignment vertical="center" wrapText="1"/>
    </xf>
    <xf numFmtId="0" fontId="2" fillId="9" borderId="74" xfId="0" applyFont="1" applyFill="1" applyBorder="1" applyAlignment="1">
      <alignment vertical="center" wrapText="1"/>
    </xf>
    <xf numFmtId="0" fontId="2" fillId="10" borderId="132" xfId="0" applyFont="1" applyFill="1" applyBorder="1" applyAlignment="1">
      <alignment vertical="center" wrapText="1"/>
    </xf>
    <xf numFmtId="0" fontId="14" fillId="4" borderId="37" xfId="0" applyFont="1" applyFill="1" applyBorder="1" applyAlignment="1">
      <alignment horizontal="center" vertical="center" textRotation="90" wrapText="1"/>
    </xf>
    <xf numFmtId="0" fontId="14" fillId="4" borderId="48" xfId="0" applyFont="1" applyFill="1" applyBorder="1" applyAlignment="1">
      <alignment horizontal="center" vertical="center" textRotation="90" wrapText="1"/>
    </xf>
    <xf numFmtId="0" fontId="14" fillId="4" borderId="137" xfId="0" applyFont="1" applyFill="1" applyBorder="1" applyAlignment="1">
      <alignment horizontal="center" vertical="center" textRotation="90" wrapText="1"/>
    </xf>
    <xf numFmtId="0" fontId="14" fillId="3" borderId="37" xfId="0" applyFont="1" applyFill="1" applyBorder="1" applyAlignment="1">
      <alignment horizontal="center" vertical="center" textRotation="90" wrapText="1"/>
    </xf>
    <xf numFmtId="0" fontId="14" fillId="3" borderId="48" xfId="0" applyFont="1" applyFill="1" applyBorder="1" applyAlignment="1">
      <alignment horizontal="center" vertical="center" textRotation="90" wrapText="1"/>
    </xf>
    <xf numFmtId="0" fontId="33" fillId="2" borderId="42" xfId="0" applyFont="1" applyFill="1" applyBorder="1" applyAlignment="1">
      <alignment horizontal="center" vertical="center" wrapText="1"/>
    </xf>
    <xf numFmtId="0" fontId="33" fillId="2" borderId="49" xfId="0" applyFont="1" applyFill="1" applyBorder="1" applyAlignment="1">
      <alignment horizontal="center" vertical="center" wrapText="1"/>
    </xf>
    <xf numFmtId="0" fontId="33" fillId="2" borderId="52" xfId="0" applyFont="1" applyFill="1" applyBorder="1" applyAlignment="1">
      <alignment horizontal="center" vertical="center" wrapText="1"/>
    </xf>
    <xf numFmtId="0" fontId="33" fillId="2" borderId="45" xfId="0" applyFont="1" applyFill="1" applyBorder="1" applyAlignment="1">
      <alignment horizontal="center" vertical="center" wrapText="1"/>
    </xf>
    <xf numFmtId="0" fontId="6" fillId="2" borderId="48" xfId="0" applyFont="1" applyFill="1" applyBorder="1" applyAlignment="1">
      <alignment horizontal="center" vertical="center" wrapText="1"/>
    </xf>
    <xf numFmtId="0" fontId="2" fillId="9" borderId="109" xfId="0" applyFont="1" applyFill="1" applyBorder="1" applyAlignment="1">
      <alignment vertical="center" wrapText="1"/>
    </xf>
    <xf numFmtId="0" fontId="31" fillId="0" borderId="130" xfId="0" applyFont="1" applyBorder="1" applyAlignment="1">
      <alignment horizontal="center" vertical="center" wrapText="1"/>
    </xf>
    <xf numFmtId="0" fontId="2" fillId="0" borderId="2" xfId="0" applyFont="1" applyBorder="1" applyAlignment="1">
      <alignment horizontal="center"/>
    </xf>
    <xf numFmtId="0" fontId="2" fillId="0" borderId="4" xfId="0" applyFont="1" applyBorder="1" applyAlignment="1">
      <alignment horizontal="center"/>
    </xf>
  </cellXfs>
  <cellStyles count="3">
    <cellStyle name="Bad" xfId="2" builtinId="27"/>
    <cellStyle name="Normal" xfId="0" builtinId="0"/>
    <cellStyle name="Normal 2" xfId="1" xr:uid="{FADA6E33-84CA-443D-95EB-FEC4F19C90D1}"/>
  </cellStyles>
  <dxfs count="23">
    <dxf>
      <font>
        <b/>
        <i val="0"/>
        <color theme="0"/>
      </font>
      <fill>
        <patternFill>
          <bgColor theme="0" tint="-0.499984740745262"/>
        </patternFill>
      </fill>
    </dxf>
    <dxf>
      <fill>
        <patternFill>
          <bgColor theme="0" tint="-0.34998626667073579"/>
        </patternFill>
      </fill>
    </dxf>
    <dxf>
      <fill>
        <patternFill>
          <bgColor theme="0" tint="-0.24994659260841701"/>
        </patternFill>
      </fill>
    </dxf>
    <dxf>
      <fill>
        <patternFill>
          <bgColor theme="0" tint="-4.9989318521683403E-2"/>
        </patternFill>
      </fill>
    </dxf>
    <dxf>
      <fill>
        <patternFill>
          <bgColor theme="0" tint="-0.14996795556505021"/>
        </patternFill>
      </fill>
    </dxf>
    <dxf>
      <font>
        <b/>
        <i val="0"/>
        <color theme="0"/>
      </font>
      <fill>
        <patternFill>
          <bgColor theme="0" tint="-0.499984740745262"/>
        </patternFill>
      </fill>
    </dxf>
    <dxf>
      <fill>
        <patternFill>
          <bgColor theme="0" tint="-4.9989318521683403E-2"/>
        </patternFill>
      </fill>
    </dxf>
    <dxf>
      <fill>
        <patternFill>
          <bgColor theme="0" tint="-0.14996795556505021"/>
        </patternFill>
      </fill>
    </dxf>
    <dxf>
      <fill>
        <patternFill>
          <bgColor theme="0" tint="-0.499984740745262"/>
        </patternFill>
      </fill>
    </dxf>
    <dxf>
      <fill>
        <patternFill>
          <bgColor theme="0" tint="-0.34998626667073579"/>
        </patternFill>
      </fill>
    </dxf>
    <dxf>
      <fill>
        <patternFill>
          <bgColor theme="0" tint="-0.24994659260841701"/>
        </patternFill>
      </fill>
    </dxf>
    <dxf>
      <font>
        <b/>
        <i val="0"/>
        <color theme="0"/>
      </font>
      <fill>
        <patternFill>
          <bgColor theme="0" tint="-0.499984740745262"/>
        </patternFill>
      </fill>
    </dxf>
    <dxf>
      <fill>
        <patternFill>
          <bgColor theme="0" tint="-0.34998626667073579"/>
        </patternFill>
      </fill>
    </dxf>
    <dxf>
      <fill>
        <patternFill>
          <bgColor theme="0" tint="-0.24994659260841701"/>
        </patternFill>
      </fill>
    </dxf>
    <dxf>
      <fill>
        <patternFill>
          <bgColor theme="0" tint="-4.9989318521683403E-2"/>
        </patternFill>
      </fill>
    </dxf>
    <dxf>
      <fill>
        <patternFill>
          <bgColor theme="0" tint="-0.14996795556505021"/>
        </patternFill>
      </fill>
    </dxf>
    <dxf>
      <font>
        <b/>
        <i val="0"/>
        <color theme="0"/>
      </font>
      <fill>
        <patternFill>
          <bgColor theme="0" tint="-0.499984740745262"/>
        </patternFill>
      </fill>
    </dxf>
    <dxf>
      <fill>
        <patternFill>
          <bgColor theme="0" tint="-0.499984740745262"/>
        </patternFill>
      </fill>
    </dxf>
    <dxf>
      <fill>
        <patternFill>
          <bgColor theme="0" tint="-0.34998626667073579"/>
        </patternFill>
      </fill>
    </dxf>
    <dxf>
      <fill>
        <patternFill>
          <bgColor theme="0" tint="-0.24994659260841701"/>
        </patternFill>
      </fill>
    </dxf>
    <dxf>
      <fill>
        <patternFill>
          <bgColor theme="0" tint="-0.14996795556505021"/>
        </patternFill>
      </fill>
    </dxf>
    <dxf>
      <fill>
        <patternFill>
          <bgColor theme="0" tint="-4.9989318521683403E-2"/>
        </patternFill>
      </fill>
    </dxf>
    <dxf>
      <font>
        <b/>
        <i val="0"/>
        <color theme="0"/>
      </font>
      <fill>
        <patternFill>
          <bgColor theme="0" tint="-0.499984740745262"/>
        </patternFill>
      </fill>
    </dxf>
  </dxfs>
  <tableStyles count="0" defaultTableStyle="TableStyleMedium2" defaultPivotStyle="PivotStyleLight16"/>
  <colors>
    <mruColors>
      <color rgb="FF993D69"/>
      <color rgb="FF1E3C27"/>
      <color rgb="FFB84F26"/>
      <color rgb="FF0E2841"/>
      <color rgb="FFF5F6E6"/>
      <color rgb="FFFCE0EA"/>
      <color rgb="FFF9DBE4"/>
      <color rgb="FFD0B71E"/>
      <color rgb="FF6C717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radarChart>
        <c:radarStyle val="marker"/>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'DAT Report'!$D$11:$D$21</c:f>
              <c:strCache>
                <c:ptCount val="11"/>
                <c:pt idx="0">
                  <c:v>1. Maximize staff's situational awareness of the patient</c:v>
                </c:pt>
                <c:pt idx="1">
                  <c:v>2. Reduce opportunities for the patient to cause harm</c:v>
                </c:pt>
                <c:pt idx="2">
                  <c:v>3. Enhance sense of security for the patient and caregiver</c:v>
                </c:pt>
                <c:pt idx="3">
                  <c:v>4. Optimize staff workflow</c:v>
                </c:pt>
                <c:pt idx="4">
                  <c:v>5. Improve safety and security for staff</c:v>
                </c:pt>
                <c:pt idx="5">
                  <c:v>6. Provide flexible and adaptable work environments</c:v>
                </c:pt>
                <c:pt idx="6">
                  <c:v>9. Provide opportunities for engaging patients and care partners</c:v>
                </c:pt>
                <c:pt idx="7">
                  <c:v>10. Support patient and family dignity and comfort</c:v>
                </c:pt>
                <c:pt idx="8">
                  <c:v>11. Create opportunities for auditory and visual privacy</c:v>
                </c:pt>
                <c:pt idx="9">
                  <c:v>12. Provide patient choice and control over the environment</c:v>
                </c:pt>
                <c:pt idx="10">
                  <c:v>13. Create opportunities for sensory-friendly support</c:v>
                </c:pt>
              </c:strCache>
            </c:strRef>
          </c:cat>
          <c:val>
            <c:numRef>
              <c:f>'DAT Report'!$K$11:$K$21</c:f>
              <c:numCache>
                <c:formatCode>General</c:formatCode>
                <c:ptCount val="11"/>
                <c:pt idx="0">
                  <c:v>30</c:v>
                </c:pt>
                <c:pt idx="1">
                  <c:v>36</c:v>
                </c:pt>
                <c:pt idx="2">
                  <c:v>10</c:v>
                </c:pt>
                <c:pt idx="3">
                  <c:v>72</c:v>
                </c:pt>
                <c:pt idx="4">
                  <c:v>6</c:v>
                </c:pt>
                <c:pt idx="5">
                  <c:v>18</c:v>
                </c:pt>
                <c:pt idx="6">
                  <c:v>8</c:v>
                </c:pt>
                <c:pt idx="7">
                  <c:v>51</c:v>
                </c:pt>
                <c:pt idx="8">
                  <c:v>20</c:v>
                </c:pt>
                <c:pt idx="9">
                  <c:v>14</c:v>
                </c:pt>
                <c:pt idx="10">
                  <c:v>10</c:v>
                </c:pt>
              </c:numCache>
            </c:numRef>
          </c:val>
          <c:extLst>
            <c:ext xmlns:c16="http://schemas.microsoft.com/office/drawing/2014/chart" uri="{C3380CC4-5D6E-409C-BE32-E72D297353CC}">
              <c16:uniqueId val="{00000000-51DC-4E48-A8AE-DB707EC2CA81}"/>
            </c:ext>
          </c:extLst>
        </c:ser>
        <c:ser>
          <c:idx val="1"/>
          <c:order val="1"/>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'DAT Report'!$D$11:$D$21</c:f>
              <c:strCache>
                <c:ptCount val="11"/>
                <c:pt idx="0">
                  <c:v>1. Maximize staff's situational awareness of the patient</c:v>
                </c:pt>
                <c:pt idx="1">
                  <c:v>2. Reduce opportunities for the patient to cause harm</c:v>
                </c:pt>
                <c:pt idx="2">
                  <c:v>3. Enhance sense of security for the patient and caregiver</c:v>
                </c:pt>
                <c:pt idx="3">
                  <c:v>4. Optimize staff workflow</c:v>
                </c:pt>
                <c:pt idx="4">
                  <c:v>5. Improve safety and security for staff</c:v>
                </c:pt>
                <c:pt idx="5">
                  <c:v>6. Provide flexible and adaptable work environments</c:v>
                </c:pt>
                <c:pt idx="6">
                  <c:v>9. Provide opportunities for engaging patients and care partners</c:v>
                </c:pt>
                <c:pt idx="7">
                  <c:v>10. Support patient and family dignity and comfort</c:v>
                </c:pt>
                <c:pt idx="8">
                  <c:v>11. Create opportunities for auditory and visual privacy</c:v>
                </c:pt>
                <c:pt idx="9">
                  <c:v>12. Provide patient choice and control over the environment</c:v>
                </c:pt>
                <c:pt idx="10">
                  <c:v>13. Create opportunities for sensory-friendly support</c:v>
                </c:pt>
              </c:strCache>
            </c:strRef>
          </c:cat>
          <c:val>
            <c:numRef>
              <c:f>'DAT Report'!$L$11:$L$21</c:f>
              <c:numCache>
                <c:formatCode>General</c:formatCode>
                <c:ptCount val="11"/>
                <c:pt idx="0">
                  <c:v>15</c:v>
                </c:pt>
                <c:pt idx="1">
                  <c:v>33</c:v>
                </c:pt>
                <c:pt idx="2">
                  <c:v>8</c:v>
                </c:pt>
                <c:pt idx="3">
                  <c:v>69</c:v>
                </c:pt>
                <c:pt idx="4">
                  <c:v>5</c:v>
                </c:pt>
                <c:pt idx="5">
                  <c:v>16</c:v>
                </c:pt>
                <c:pt idx="6">
                  <c:v>7</c:v>
                </c:pt>
                <c:pt idx="7">
                  <c:v>48</c:v>
                </c:pt>
                <c:pt idx="8">
                  <c:v>15</c:v>
                </c:pt>
                <c:pt idx="9">
                  <c:v>14</c:v>
                </c:pt>
                <c:pt idx="10">
                  <c:v>6</c:v>
                </c:pt>
              </c:numCache>
            </c:numRef>
          </c:val>
          <c:extLst>
            <c:ext xmlns:c16="http://schemas.microsoft.com/office/drawing/2014/chart" uri="{C3380CC4-5D6E-409C-BE32-E72D297353CC}">
              <c16:uniqueId val="{00000001-51DC-4E48-A8AE-DB707EC2CA81}"/>
            </c:ext>
          </c:extLst>
        </c:ser>
        <c:dLbls>
          <c:showLegendKey val="0"/>
          <c:showVal val="0"/>
          <c:showCatName val="0"/>
          <c:showSerName val="0"/>
          <c:showPercent val="0"/>
          <c:showBubbleSize val="0"/>
        </c:dLbls>
        <c:axId val="1377312480"/>
        <c:axId val="1545271536"/>
      </c:radarChart>
      <c:catAx>
        <c:axId val="1377312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5271536"/>
        <c:crosses val="autoZero"/>
        <c:auto val="1"/>
        <c:lblAlgn val="ctr"/>
        <c:lblOffset val="100"/>
        <c:noMultiLvlLbl val="0"/>
      </c:catAx>
      <c:valAx>
        <c:axId val="15452715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73124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21167</xdr:colOff>
      <xdr:row>109</xdr:row>
      <xdr:rowOff>95250</xdr:rowOff>
    </xdr:from>
    <xdr:to>
      <xdr:col>14</xdr:col>
      <xdr:colOff>107112</xdr:colOff>
      <xdr:row>114</xdr:row>
      <xdr:rowOff>190500</xdr:rowOff>
    </xdr:to>
    <xdr:sp macro="" textlink="">
      <xdr:nvSpPr>
        <xdr:cNvPr id="2" name="TextBox 1">
          <a:extLst>
            <a:ext uri="{FF2B5EF4-FFF2-40B4-BE49-F238E27FC236}">
              <a16:creationId xmlns:a16="http://schemas.microsoft.com/office/drawing/2014/main" id="{741FEEB4-DCDA-4E20-8481-2BCCD18E0F4C}"/>
            </a:ext>
          </a:extLst>
        </xdr:cNvPr>
        <xdr:cNvSpPr txBox="1"/>
      </xdr:nvSpPr>
      <xdr:spPr>
        <a:xfrm>
          <a:off x="9281584" y="40417750"/>
          <a:ext cx="4583861" cy="115358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none" strike="noStrike">
              <a:solidFill>
                <a:schemeClr val="dk1"/>
              </a:solidFill>
              <a:effectLst/>
              <a:latin typeface="+mn-lt"/>
              <a:ea typeface="+mn-ea"/>
              <a:cs typeface="+mn-cs"/>
            </a:rPr>
            <a:t>Best Practice / Exemplary</a:t>
          </a:r>
          <a:r>
            <a:rPr lang="en-US"/>
            <a:t> </a:t>
          </a:r>
          <a:r>
            <a:rPr lang="en-US" sz="1100" b="1" i="0" u="none" strike="noStrike">
              <a:solidFill>
                <a:schemeClr val="dk1"/>
              </a:solidFill>
              <a:effectLst/>
              <a:latin typeface="+mn-lt"/>
              <a:ea typeface="+mn-ea"/>
              <a:cs typeface="+mn-cs"/>
            </a:rPr>
            <a:t>ADD “Action Plan”</a:t>
          </a:r>
          <a:r>
            <a:rPr lang="en-US" sz="1100" b="0" i="0" u="none" strike="noStrike">
              <a:solidFill>
                <a:schemeClr val="dk1"/>
              </a:solidFill>
              <a:effectLst/>
              <a:latin typeface="+mn-lt"/>
              <a:ea typeface="+mn-ea"/>
              <a:cs typeface="+mn-cs"/>
            </a:rPr>
            <a:t> : any items that were not implemented  prompts the designer to decide how they will mitigate or revise the design.</a:t>
          </a:r>
          <a:r>
            <a:rPr lang="en-US" sz="1100" b="0" i="0" u="none" strike="noStrike" baseline="0">
              <a:solidFill>
                <a:schemeClr val="dk1"/>
              </a:solidFill>
              <a:effectLst/>
              <a:latin typeface="+mn-lt"/>
              <a:ea typeface="+mn-ea"/>
              <a:cs typeface="+mn-cs"/>
            </a:rPr>
            <a:t> </a:t>
          </a:r>
          <a:r>
            <a:rPr lang="en-US" sz="1100" b="0" i="0" u="none" strike="noStrike">
              <a:solidFill>
                <a:schemeClr val="dk1"/>
              </a:solidFill>
              <a:effectLst/>
              <a:latin typeface="+mn-lt"/>
              <a:ea typeface="+mn-ea"/>
              <a:cs typeface="+mn-cs"/>
            </a:rPr>
            <a:t>This data can guide the next update of the tool and highlight systemic or recurring design oversights.</a:t>
          </a:r>
          <a:r>
            <a:rPr lang="en-US"/>
            <a:t> </a:t>
          </a:r>
          <a:br>
            <a:rPr lang="en-US"/>
          </a:br>
          <a:r>
            <a:rPr lang="en-US"/>
            <a:t>The filter tool may be used to single</a:t>
          </a:r>
          <a:r>
            <a:rPr lang="en-US" baseline="0"/>
            <a:t> out these items, as well as prioritize the ones with higher importance.</a:t>
          </a: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589359</xdr:colOff>
      <xdr:row>24</xdr:row>
      <xdr:rowOff>182164</xdr:rowOff>
    </xdr:from>
    <xdr:to>
      <xdr:col>7</xdr:col>
      <xdr:colOff>761999</xdr:colOff>
      <xdr:row>59</xdr:row>
      <xdr:rowOff>178594</xdr:rowOff>
    </xdr:to>
    <xdr:graphicFrame macro="">
      <xdr:nvGraphicFramePr>
        <xdr:cNvPr id="3" name="Chart 2">
          <a:extLst>
            <a:ext uri="{FF2B5EF4-FFF2-40B4-BE49-F238E27FC236}">
              <a16:creationId xmlns:a16="http://schemas.microsoft.com/office/drawing/2014/main" id="{E3F96531-AF9D-EB29-BB47-3896194747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C84221-1E62-4B15-B9AF-634F484048D7}">
  <dimension ref="A1:G91"/>
  <sheetViews>
    <sheetView workbookViewId="0"/>
  </sheetViews>
  <sheetFormatPr defaultRowHeight="15" x14ac:dyDescent="0.25"/>
  <cols>
    <col min="1" max="1" width="9.42578125" customWidth="1"/>
    <col min="2" max="2" width="5.5703125" customWidth="1"/>
    <col min="3" max="3" width="52.28515625" style="8" customWidth="1"/>
    <col min="4" max="4" width="24.42578125" style="8" customWidth="1"/>
    <col min="5" max="5" width="36.85546875" customWidth="1"/>
    <col min="6" max="6" width="26.7109375" customWidth="1"/>
  </cols>
  <sheetData>
    <row r="1" spans="1:7" x14ac:dyDescent="0.25">
      <c r="A1" s="44" t="s">
        <v>0</v>
      </c>
    </row>
    <row r="2" spans="1:7" s="1" customFormat="1" ht="16.5" x14ac:dyDescent="0.25">
      <c r="B2" s="2" t="s">
        <v>1</v>
      </c>
      <c r="C2" s="3"/>
      <c r="D2" s="3"/>
    </row>
    <row r="3" spans="1:7" s="4" customFormat="1" ht="63" x14ac:dyDescent="0.25">
      <c r="B3" s="5"/>
      <c r="C3" s="6" t="s">
        <v>2</v>
      </c>
      <c r="D3" s="6"/>
    </row>
    <row r="4" spans="1:7" s="2" customFormat="1" ht="15.75" customHeight="1" x14ac:dyDescent="0.25">
      <c r="B4" s="419" t="s">
        <v>3</v>
      </c>
      <c r="C4" s="420"/>
      <c r="D4" s="417" t="s">
        <v>4</v>
      </c>
      <c r="E4" s="421" t="s">
        <v>5</v>
      </c>
      <c r="F4" s="7"/>
      <c r="G4" s="7"/>
    </row>
    <row r="5" spans="1:7" s="2" customFormat="1" ht="90" customHeight="1" x14ac:dyDescent="0.25">
      <c r="B5" s="419"/>
      <c r="C5" s="420"/>
      <c r="D5" s="418"/>
      <c r="E5" s="422"/>
      <c r="F5" s="7"/>
      <c r="G5" s="7"/>
    </row>
    <row r="6" spans="1:7" ht="30" x14ac:dyDescent="0.25">
      <c r="B6" s="9">
        <v>1</v>
      </c>
      <c r="C6" s="277" t="s">
        <v>6</v>
      </c>
      <c r="D6" s="280"/>
      <c r="E6" s="281"/>
    </row>
    <row r="7" spans="1:7" ht="30" x14ac:dyDescent="0.25">
      <c r="B7" s="9">
        <f>B6+1</f>
        <v>2</v>
      </c>
      <c r="C7" s="10" t="s">
        <v>7</v>
      </c>
      <c r="D7" s="278"/>
      <c r="E7" s="279"/>
    </row>
    <row r="8" spans="1:7" x14ac:dyDescent="0.25">
      <c r="B8" s="9">
        <f>B7+1</f>
        <v>3</v>
      </c>
      <c r="C8" s="10" t="s">
        <v>8</v>
      </c>
      <c r="D8" s="261"/>
      <c r="E8" s="17"/>
    </row>
    <row r="9" spans="1:7" ht="30" x14ac:dyDescent="0.25">
      <c r="B9" s="9">
        <f t="shared" ref="B9:B14" si="0">B8+1</f>
        <v>4</v>
      </c>
      <c r="C9" s="10" t="s">
        <v>9</v>
      </c>
      <c r="D9" s="261"/>
      <c r="E9" s="17"/>
    </row>
    <row r="10" spans="1:7" ht="30.75" customHeight="1" x14ac:dyDescent="0.25">
      <c r="B10" s="9">
        <f t="shared" si="0"/>
        <v>5</v>
      </c>
      <c r="C10" s="10" t="s">
        <v>10</v>
      </c>
      <c r="D10" s="34"/>
      <c r="E10" s="260"/>
    </row>
    <row r="11" spans="1:7" ht="30" x14ac:dyDescent="0.25">
      <c r="B11" s="9">
        <f t="shared" si="0"/>
        <v>6</v>
      </c>
      <c r="C11" s="10" t="s">
        <v>11</v>
      </c>
      <c r="D11" s="34"/>
      <c r="E11" s="260"/>
    </row>
    <row r="12" spans="1:7" x14ac:dyDescent="0.25">
      <c r="B12" s="9">
        <f t="shared" si="0"/>
        <v>7</v>
      </c>
      <c r="C12" s="10" t="s">
        <v>12</v>
      </c>
      <c r="D12" s="261"/>
      <c r="E12" s="17"/>
    </row>
    <row r="13" spans="1:7" ht="30" x14ac:dyDescent="0.25">
      <c r="B13" s="9">
        <f t="shared" si="0"/>
        <v>8</v>
      </c>
      <c r="C13" s="10" t="s">
        <v>13</v>
      </c>
      <c r="D13" s="35"/>
      <c r="E13" s="260"/>
    </row>
    <row r="14" spans="1:7" ht="30" x14ac:dyDescent="0.25">
      <c r="B14" s="13">
        <f t="shared" si="0"/>
        <v>9</v>
      </c>
      <c r="C14" s="15" t="s">
        <v>14</v>
      </c>
      <c r="D14" s="36"/>
      <c r="E14" s="19"/>
    </row>
    <row r="15" spans="1:7" x14ac:dyDescent="0.25">
      <c r="B15" s="14"/>
      <c r="C15" s="21" t="s">
        <v>15</v>
      </c>
      <c r="D15" s="37"/>
      <c r="E15" s="262"/>
    </row>
    <row r="16" spans="1:7" x14ac:dyDescent="0.25">
      <c r="B16" s="14"/>
      <c r="C16" s="20" t="s">
        <v>16</v>
      </c>
      <c r="D16" s="38"/>
      <c r="E16" s="263"/>
    </row>
    <row r="17" spans="2:5" x14ac:dyDescent="0.25">
      <c r="B17" s="14"/>
      <c r="C17" s="20" t="s">
        <v>17</v>
      </c>
      <c r="D17" s="38"/>
      <c r="E17" s="263"/>
    </row>
    <row r="18" spans="2:5" x14ac:dyDescent="0.25">
      <c r="B18" s="14"/>
      <c r="C18" s="20" t="s">
        <v>18</v>
      </c>
      <c r="D18" s="38"/>
      <c r="E18" s="263"/>
    </row>
    <row r="19" spans="2:5" x14ac:dyDescent="0.25">
      <c r="B19" s="14"/>
      <c r="C19" s="20" t="s">
        <v>19</v>
      </c>
      <c r="D19" s="38"/>
      <c r="E19" s="263"/>
    </row>
    <row r="20" spans="2:5" x14ac:dyDescent="0.25">
      <c r="B20" s="14"/>
      <c r="C20" s="22" t="s">
        <v>20</v>
      </c>
      <c r="D20" s="39"/>
      <c r="E20" s="264"/>
    </row>
    <row r="21" spans="2:5" ht="45" x14ac:dyDescent="0.25">
      <c r="B21" s="13">
        <f>B14+1</f>
        <v>10</v>
      </c>
      <c r="C21" s="15" t="s">
        <v>21</v>
      </c>
      <c r="D21" s="36"/>
      <c r="E21" s="19"/>
    </row>
    <row r="22" spans="2:5" x14ac:dyDescent="0.25">
      <c r="B22" s="14"/>
      <c r="C22" s="23" t="s">
        <v>22</v>
      </c>
      <c r="D22" s="38"/>
      <c r="E22" s="24"/>
    </row>
    <row r="23" spans="2:5" x14ac:dyDescent="0.25">
      <c r="B23" s="14"/>
      <c r="C23" s="26" t="s">
        <v>15</v>
      </c>
      <c r="D23" s="40"/>
      <c r="E23" s="265"/>
    </row>
    <row r="24" spans="2:5" x14ac:dyDescent="0.25">
      <c r="B24" s="14"/>
      <c r="C24" s="32" t="s">
        <v>16</v>
      </c>
      <c r="D24" s="41"/>
      <c r="E24" s="266"/>
    </row>
    <row r="25" spans="2:5" x14ac:dyDescent="0.25">
      <c r="B25" s="14"/>
      <c r="C25" s="32" t="s">
        <v>17</v>
      </c>
      <c r="D25" s="41"/>
      <c r="E25" s="266"/>
    </row>
    <row r="26" spans="2:5" x14ac:dyDescent="0.25">
      <c r="B26" s="14"/>
      <c r="C26" s="32" t="s">
        <v>18</v>
      </c>
      <c r="D26" s="41"/>
      <c r="E26" s="266"/>
    </row>
    <row r="27" spans="2:5" x14ac:dyDescent="0.25">
      <c r="B27" s="14"/>
      <c r="C27" s="32" t="s">
        <v>19</v>
      </c>
      <c r="D27" s="41"/>
      <c r="E27" s="266"/>
    </row>
    <row r="28" spans="2:5" x14ac:dyDescent="0.25">
      <c r="B28" s="14"/>
      <c r="C28" s="30" t="s">
        <v>20</v>
      </c>
      <c r="D28" s="42"/>
      <c r="E28" s="267"/>
    </row>
    <row r="29" spans="2:5" x14ac:dyDescent="0.25">
      <c r="B29" s="14"/>
      <c r="C29" s="23" t="s">
        <v>23</v>
      </c>
      <c r="D29" s="38"/>
      <c r="E29" s="24"/>
    </row>
    <row r="30" spans="2:5" x14ac:dyDescent="0.25">
      <c r="B30" s="14"/>
      <c r="C30" s="32" t="s">
        <v>15</v>
      </c>
      <c r="D30" s="41"/>
      <c r="E30" s="266"/>
    </row>
    <row r="31" spans="2:5" x14ac:dyDescent="0.25">
      <c r="B31" s="14"/>
      <c r="C31" s="32" t="s">
        <v>16</v>
      </c>
      <c r="D31" s="41"/>
      <c r="E31" s="266"/>
    </row>
    <row r="32" spans="2:5" x14ac:dyDescent="0.25">
      <c r="B32" s="14"/>
      <c r="C32" s="32" t="s">
        <v>17</v>
      </c>
      <c r="D32" s="41"/>
      <c r="E32" s="266"/>
    </row>
    <row r="33" spans="2:5" x14ac:dyDescent="0.25">
      <c r="B33" s="14"/>
      <c r="C33" s="32" t="s">
        <v>18</v>
      </c>
      <c r="D33" s="41"/>
      <c r="E33" s="266"/>
    </row>
    <row r="34" spans="2:5" x14ac:dyDescent="0.25">
      <c r="B34" s="14"/>
      <c r="C34" s="32" t="s">
        <v>19</v>
      </c>
      <c r="D34" s="41"/>
      <c r="E34" s="266"/>
    </row>
    <row r="35" spans="2:5" x14ac:dyDescent="0.25">
      <c r="B35" s="14"/>
      <c r="C35" s="30" t="s">
        <v>20</v>
      </c>
      <c r="D35" s="42"/>
      <c r="E35" s="267"/>
    </row>
    <row r="36" spans="2:5" x14ac:dyDescent="0.25">
      <c r="B36" s="14"/>
      <c r="C36" s="23" t="s">
        <v>24</v>
      </c>
      <c r="D36" s="38"/>
      <c r="E36" s="24"/>
    </row>
    <row r="37" spans="2:5" x14ac:dyDescent="0.25">
      <c r="B37" s="14"/>
      <c r="C37" s="32" t="s">
        <v>15</v>
      </c>
      <c r="D37" s="41"/>
      <c r="E37" s="266"/>
    </row>
    <row r="38" spans="2:5" x14ac:dyDescent="0.25">
      <c r="B38" s="14"/>
      <c r="C38" s="32" t="s">
        <v>16</v>
      </c>
      <c r="D38" s="41"/>
      <c r="E38" s="266"/>
    </row>
    <row r="39" spans="2:5" x14ac:dyDescent="0.25">
      <c r="B39" s="14"/>
      <c r="C39" s="32" t="s">
        <v>17</v>
      </c>
      <c r="D39" s="41"/>
      <c r="E39" s="266"/>
    </row>
    <row r="40" spans="2:5" x14ac:dyDescent="0.25">
      <c r="B40" s="14"/>
      <c r="C40" s="32" t="s">
        <v>18</v>
      </c>
      <c r="D40" s="41"/>
      <c r="E40" s="266"/>
    </row>
    <row r="41" spans="2:5" x14ac:dyDescent="0.25">
      <c r="B41" s="14"/>
      <c r="C41" s="32" t="s">
        <v>19</v>
      </c>
      <c r="D41" s="41"/>
      <c r="E41" s="266"/>
    </row>
    <row r="42" spans="2:5" x14ac:dyDescent="0.25">
      <c r="B42" s="14"/>
      <c r="C42" s="30" t="s">
        <v>20</v>
      </c>
      <c r="D42" s="42"/>
      <c r="E42" s="267"/>
    </row>
    <row r="43" spans="2:5" x14ac:dyDescent="0.25">
      <c r="B43" s="14"/>
      <c r="C43" s="23" t="s">
        <v>25</v>
      </c>
      <c r="D43" s="38"/>
      <c r="E43" s="24"/>
    </row>
    <row r="44" spans="2:5" x14ac:dyDescent="0.25">
      <c r="B44" s="14"/>
      <c r="C44" s="32" t="s">
        <v>15</v>
      </c>
      <c r="D44" s="41"/>
      <c r="E44" s="266"/>
    </row>
    <row r="45" spans="2:5" x14ac:dyDescent="0.25">
      <c r="B45" s="14"/>
      <c r="C45" s="32" t="s">
        <v>16</v>
      </c>
      <c r="D45" s="41"/>
      <c r="E45" s="266"/>
    </row>
    <row r="46" spans="2:5" x14ac:dyDescent="0.25">
      <c r="B46" s="14"/>
      <c r="C46" s="32" t="s">
        <v>17</v>
      </c>
      <c r="D46" s="41"/>
      <c r="E46" s="266"/>
    </row>
    <row r="47" spans="2:5" x14ac:dyDescent="0.25">
      <c r="B47" s="14"/>
      <c r="C47" s="32" t="s">
        <v>18</v>
      </c>
      <c r="D47" s="41"/>
      <c r="E47" s="266"/>
    </row>
    <row r="48" spans="2:5" x14ac:dyDescent="0.25">
      <c r="B48" s="14"/>
      <c r="C48" s="32" t="s">
        <v>19</v>
      </c>
      <c r="D48" s="41"/>
      <c r="E48" s="266"/>
    </row>
    <row r="49" spans="2:5" x14ac:dyDescent="0.25">
      <c r="B49" s="14"/>
      <c r="C49" s="28" t="s">
        <v>20</v>
      </c>
      <c r="D49" s="43"/>
      <c r="E49" s="268"/>
    </row>
    <row r="50" spans="2:5" ht="45" x14ac:dyDescent="0.25">
      <c r="B50" s="13">
        <f>B21+1</f>
        <v>11</v>
      </c>
      <c r="C50" s="15" t="s">
        <v>26</v>
      </c>
      <c r="D50" s="36"/>
      <c r="E50" s="19"/>
    </row>
    <row r="51" spans="2:5" x14ac:dyDescent="0.25">
      <c r="B51" s="14"/>
      <c r="C51" s="23" t="s">
        <v>27</v>
      </c>
      <c r="D51" s="38"/>
      <c r="E51" s="24"/>
    </row>
    <row r="52" spans="2:5" x14ac:dyDescent="0.25">
      <c r="B52" s="14"/>
      <c r="C52" s="32" t="s">
        <v>28</v>
      </c>
      <c r="D52" s="269"/>
      <c r="E52" s="33"/>
    </row>
    <row r="53" spans="2:5" x14ac:dyDescent="0.25">
      <c r="B53" s="14"/>
      <c r="C53" s="32" t="s">
        <v>29</v>
      </c>
      <c r="D53" s="269"/>
      <c r="E53" s="33"/>
    </row>
    <row r="54" spans="2:5" x14ac:dyDescent="0.25">
      <c r="B54" s="14"/>
      <c r="C54" s="30" t="s">
        <v>30</v>
      </c>
      <c r="D54" s="270"/>
      <c r="E54" s="31"/>
    </row>
    <row r="55" spans="2:5" x14ac:dyDescent="0.25">
      <c r="B55" s="14"/>
      <c r="C55" s="23" t="s">
        <v>31</v>
      </c>
      <c r="D55" s="38"/>
      <c r="E55" s="24"/>
    </row>
    <row r="56" spans="2:5" x14ac:dyDescent="0.25">
      <c r="B56" s="14"/>
      <c r="C56" s="16" t="s">
        <v>28</v>
      </c>
      <c r="D56" s="271"/>
      <c r="E56" s="12"/>
    </row>
    <row r="57" spans="2:5" x14ac:dyDescent="0.25">
      <c r="B57" s="14"/>
      <c r="C57" s="32" t="s">
        <v>29</v>
      </c>
      <c r="D57" s="269"/>
      <c r="E57" s="33"/>
    </row>
    <row r="58" spans="2:5" x14ac:dyDescent="0.25">
      <c r="B58" s="14"/>
      <c r="C58" s="30" t="s">
        <v>30</v>
      </c>
      <c r="D58" s="270"/>
      <c r="E58" s="31"/>
    </row>
    <row r="59" spans="2:5" x14ac:dyDescent="0.25">
      <c r="B59" s="14"/>
      <c r="C59" s="23" t="s">
        <v>32</v>
      </c>
      <c r="D59" s="38"/>
      <c r="E59" s="24"/>
    </row>
    <row r="60" spans="2:5" x14ac:dyDescent="0.25">
      <c r="B60" s="14"/>
      <c r="C60" s="32" t="s">
        <v>28</v>
      </c>
      <c r="D60" s="269"/>
      <c r="E60" s="33"/>
    </row>
    <row r="61" spans="2:5" x14ac:dyDescent="0.25">
      <c r="B61" s="14"/>
      <c r="C61" s="32" t="s">
        <v>29</v>
      </c>
      <c r="D61" s="269"/>
      <c r="E61" s="33"/>
    </row>
    <row r="62" spans="2:5" x14ac:dyDescent="0.25">
      <c r="B62" s="14"/>
      <c r="C62" s="28" t="s">
        <v>30</v>
      </c>
      <c r="D62" s="272"/>
      <c r="E62" s="29"/>
    </row>
    <row r="63" spans="2:5" ht="45" x14ac:dyDescent="0.25">
      <c r="B63" s="13">
        <f>B50+1</f>
        <v>12</v>
      </c>
      <c r="C63" s="15" t="s">
        <v>33</v>
      </c>
      <c r="D63" s="36"/>
      <c r="E63" s="19"/>
    </row>
    <row r="64" spans="2:5" x14ac:dyDescent="0.25">
      <c r="B64" s="14"/>
      <c r="C64" s="23" t="s">
        <v>27</v>
      </c>
      <c r="D64" s="38"/>
      <c r="E64" s="24"/>
    </row>
    <row r="65" spans="2:5" x14ac:dyDescent="0.25">
      <c r="B65" s="14"/>
      <c r="C65" s="32" t="s">
        <v>28</v>
      </c>
      <c r="D65" s="269"/>
      <c r="E65" s="33"/>
    </row>
    <row r="66" spans="2:5" x14ac:dyDescent="0.25">
      <c r="B66" s="14"/>
      <c r="C66" s="32" t="s">
        <v>29</v>
      </c>
      <c r="D66" s="269"/>
      <c r="E66" s="33"/>
    </row>
    <row r="67" spans="2:5" x14ac:dyDescent="0.25">
      <c r="B67" s="14"/>
      <c r="C67" s="30" t="s">
        <v>30</v>
      </c>
      <c r="D67" s="270"/>
      <c r="E67" s="31"/>
    </row>
    <row r="68" spans="2:5" x14ac:dyDescent="0.25">
      <c r="B68" s="14"/>
      <c r="C68" s="23" t="s">
        <v>31</v>
      </c>
      <c r="D68" s="38"/>
      <c r="E68" s="24"/>
    </row>
    <row r="69" spans="2:5" x14ac:dyDescent="0.25">
      <c r="B69" s="14"/>
      <c r="C69" s="32" t="s">
        <v>28</v>
      </c>
      <c r="D69" s="269"/>
      <c r="E69" s="33"/>
    </row>
    <row r="70" spans="2:5" x14ac:dyDescent="0.25">
      <c r="B70" s="14"/>
      <c r="C70" s="32" t="s">
        <v>29</v>
      </c>
      <c r="D70" s="269"/>
      <c r="E70" s="33"/>
    </row>
    <row r="71" spans="2:5" x14ac:dyDescent="0.25">
      <c r="B71" s="14"/>
      <c r="C71" s="30" t="s">
        <v>30</v>
      </c>
      <c r="D71" s="270"/>
      <c r="E71" s="31"/>
    </row>
    <row r="72" spans="2:5" x14ac:dyDescent="0.25">
      <c r="B72" s="14"/>
      <c r="C72" s="23" t="s">
        <v>32</v>
      </c>
      <c r="D72" s="38"/>
      <c r="E72" s="24"/>
    </row>
    <row r="73" spans="2:5" x14ac:dyDescent="0.25">
      <c r="B73" s="14"/>
      <c r="C73" s="26" t="s">
        <v>28</v>
      </c>
      <c r="D73" s="273"/>
      <c r="E73" s="27"/>
    </row>
    <row r="74" spans="2:5" x14ac:dyDescent="0.25">
      <c r="B74" s="14"/>
      <c r="C74" s="26" t="s">
        <v>29</v>
      </c>
      <c r="D74" s="273"/>
      <c r="E74" s="27"/>
    </row>
    <row r="75" spans="2:5" x14ac:dyDescent="0.25">
      <c r="B75" s="14"/>
      <c r="C75" s="28" t="s">
        <v>30</v>
      </c>
      <c r="D75" s="272"/>
      <c r="E75" s="29"/>
    </row>
    <row r="76" spans="2:5" ht="34.5" customHeight="1" x14ac:dyDescent="0.25">
      <c r="B76" s="9">
        <f>B63+1</f>
        <v>13</v>
      </c>
      <c r="C76" s="10" t="s">
        <v>34</v>
      </c>
      <c r="D76" s="35"/>
      <c r="E76" s="260"/>
    </row>
    <row r="77" spans="2:5" ht="30" x14ac:dyDescent="0.25">
      <c r="B77" s="13">
        <f>B76+1</f>
        <v>14</v>
      </c>
      <c r="C77" s="15" t="s">
        <v>35</v>
      </c>
      <c r="D77" s="36"/>
      <c r="E77" s="19"/>
    </row>
    <row r="78" spans="2:5" x14ac:dyDescent="0.25">
      <c r="B78" s="14"/>
      <c r="C78" s="20" t="s">
        <v>36</v>
      </c>
      <c r="D78" s="274"/>
      <c r="E78" s="24"/>
    </row>
    <row r="79" spans="2:5" ht="30" x14ac:dyDescent="0.25">
      <c r="B79" s="14"/>
      <c r="C79" s="20" t="s">
        <v>37</v>
      </c>
      <c r="D79" s="274"/>
      <c r="E79" s="24"/>
    </row>
    <row r="80" spans="2:5" ht="30" x14ac:dyDescent="0.25">
      <c r="B80" s="14"/>
      <c r="C80" s="20" t="s">
        <v>38</v>
      </c>
      <c r="D80" s="274"/>
      <c r="E80" s="24"/>
    </row>
    <row r="81" spans="2:5" ht="30" x14ac:dyDescent="0.25">
      <c r="B81" s="14"/>
      <c r="C81" s="22" t="s">
        <v>39</v>
      </c>
      <c r="D81" s="275"/>
      <c r="E81" s="25"/>
    </row>
    <row r="82" spans="2:5" x14ac:dyDescent="0.25">
      <c r="B82" s="13">
        <f>B77+1</f>
        <v>15</v>
      </c>
      <c r="C82" s="15" t="s">
        <v>40</v>
      </c>
      <c r="D82" s="36"/>
      <c r="E82" s="19"/>
    </row>
    <row r="83" spans="2:5" x14ac:dyDescent="0.25">
      <c r="B83" s="14"/>
      <c r="C83" s="20" t="s">
        <v>41</v>
      </c>
      <c r="D83" s="38"/>
      <c r="E83" s="263"/>
    </row>
    <row r="84" spans="2:5" x14ac:dyDescent="0.25">
      <c r="B84" s="14"/>
      <c r="C84" s="20" t="s">
        <v>42</v>
      </c>
      <c r="D84" s="38"/>
      <c r="E84" s="263"/>
    </row>
    <row r="85" spans="2:5" x14ac:dyDescent="0.25">
      <c r="B85" s="14"/>
      <c r="C85" s="22" t="s">
        <v>43</v>
      </c>
      <c r="D85" s="39"/>
      <c r="E85" s="264"/>
    </row>
    <row r="86" spans="2:5" ht="30" x14ac:dyDescent="0.25">
      <c r="B86" s="9">
        <f>B82+1</f>
        <v>16</v>
      </c>
      <c r="C86" s="10" t="s">
        <v>44</v>
      </c>
      <c r="D86" s="35"/>
      <c r="E86" s="260"/>
    </row>
    <row r="87" spans="2:5" ht="30" x14ac:dyDescent="0.25">
      <c r="B87" s="13">
        <f>B86+1</f>
        <v>17</v>
      </c>
      <c r="C87" s="15" t="s">
        <v>45</v>
      </c>
      <c r="D87" s="36"/>
      <c r="E87" s="259"/>
    </row>
    <row r="88" spans="2:5" x14ac:dyDescent="0.25">
      <c r="B88" s="14"/>
      <c r="C88" s="20" t="s">
        <v>46</v>
      </c>
      <c r="D88" s="38"/>
      <c r="E88" s="263"/>
    </row>
    <row r="89" spans="2:5" x14ac:dyDescent="0.25">
      <c r="B89" s="14"/>
      <c r="C89" s="20" t="s">
        <v>47</v>
      </c>
      <c r="D89" s="38"/>
      <c r="E89" s="263"/>
    </row>
    <row r="90" spans="2:5" x14ac:dyDescent="0.25">
      <c r="B90" s="14"/>
      <c r="C90" s="22" t="s">
        <v>48</v>
      </c>
      <c r="D90" s="39"/>
      <c r="E90" s="264"/>
    </row>
    <row r="91" spans="2:5" x14ac:dyDescent="0.25">
      <c r="B91" s="9">
        <f>B87+1</f>
        <v>18</v>
      </c>
      <c r="C91" s="10" t="s">
        <v>49</v>
      </c>
      <c r="D91" s="276"/>
      <c r="E91" s="17"/>
    </row>
  </sheetData>
  <mergeCells count="3">
    <mergeCell ref="D4:D5"/>
    <mergeCell ref="B4:C5"/>
    <mergeCell ref="E4:E5"/>
  </mergeCells>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r:uid="{1547C595-C3E1-4658-84EC-CC6EB990E950}">
          <x14:formula1>
            <xm:f>'Response Options'!$B$4:$B$5</xm:f>
          </x14:formula1>
          <xm:sqref>D8</xm:sqref>
        </x14:dataValidation>
        <x14:dataValidation type="list" allowBlank="1" showInputMessage="1" showErrorMessage="1" xr:uid="{E383264A-74BF-4524-B364-98787860FF0B}">
          <x14:formula1>
            <xm:f>'Response Options'!$B$7:$B$9</xm:f>
          </x14:formula1>
          <xm:sqref>D9</xm:sqref>
        </x14:dataValidation>
        <x14:dataValidation type="list" allowBlank="1" showInputMessage="1" showErrorMessage="1" xr:uid="{DF0E05BC-7A6A-48D9-9767-C14A14AAF1F8}">
          <x14:formula1>
            <xm:f>'Response Options'!$B$11:$B$12</xm:f>
          </x14:formula1>
          <xm:sqref>D12 D78:D81 D91</xm:sqref>
        </x14:dataValidation>
        <x14:dataValidation type="list" allowBlank="1" showInputMessage="1" showErrorMessage="1" xr:uid="{93BFF128-FC8F-4DE0-B160-7F97AD2C68CB}">
          <x14:formula1>
            <xm:f>'Response Options'!$B$14:$B$22</xm:f>
          </x14:formula1>
          <xm:sqref>D52:D54 D56:D58 D60:D62 D65:D67 D69:D71 D73:D75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4053C3-C4C4-4443-B652-0E540969E3AB}">
  <dimension ref="B2:N43"/>
  <sheetViews>
    <sheetView workbookViewId="0"/>
  </sheetViews>
  <sheetFormatPr defaultRowHeight="15" x14ac:dyDescent="0.25"/>
  <cols>
    <col min="2" max="2" width="5" customWidth="1"/>
    <col min="3" max="3" width="23.85546875" customWidth="1"/>
    <col min="4" max="4" width="49.7109375" customWidth="1"/>
    <col min="5" max="5" width="80.140625" customWidth="1"/>
    <col min="6" max="6" width="27.85546875" style="91" customWidth="1"/>
    <col min="9" max="9" width="37.85546875" hidden="1" customWidth="1"/>
    <col min="10" max="10" width="12.5703125" hidden="1" customWidth="1"/>
    <col min="11" max="11" width="37.85546875" customWidth="1"/>
    <col min="12" max="12" width="29" customWidth="1"/>
    <col min="13" max="13" width="9.140625" customWidth="1"/>
  </cols>
  <sheetData>
    <row r="2" spans="2:14" x14ac:dyDescent="0.25">
      <c r="B2" s="44" t="s">
        <v>50</v>
      </c>
    </row>
    <row r="4" spans="2:14" x14ac:dyDescent="0.25">
      <c r="B4" s="64"/>
      <c r="C4" s="55"/>
      <c r="D4" s="55"/>
      <c r="E4" s="55"/>
      <c r="F4" s="92"/>
      <c r="G4" s="11"/>
    </row>
    <row r="5" spans="2:14" ht="15.75" x14ac:dyDescent="0.25">
      <c r="B5" s="54"/>
      <c r="C5" s="2" t="s">
        <v>51</v>
      </c>
      <c r="G5" s="88"/>
    </row>
    <row r="6" spans="2:14" ht="15.75" customHeight="1" x14ac:dyDescent="0.25">
      <c r="B6" s="54"/>
      <c r="C6" s="282" t="s">
        <v>390</v>
      </c>
      <c r="D6" s="230"/>
      <c r="E6" s="230"/>
      <c r="F6" s="230"/>
      <c r="G6" s="230"/>
      <c r="H6" s="230"/>
      <c r="I6" s="230"/>
      <c r="J6" s="230"/>
      <c r="K6" s="230"/>
      <c r="L6" s="230"/>
      <c r="M6" s="230"/>
      <c r="N6" s="230"/>
    </row>
    <row r="7" spans="2:14" ht="15.75" x14ac:dyDescent="0.25">
      <c r="B7" s="54"/>
      <c r="C7" s="282" t="s">
        <v>391</v>
      </c>
      <c r="G7" s="88"/>
    </row>
    <row r="8" spans="2:14" x14ac:dyDescent="0.25">
      <c r="B8" s="54"/>
      <c r="G8" s="88"/>
    </row>
    <row r="9" spans="2:14" ht="15.75" thickBot="1" x14ac:dyDescent="0.3">
      <c r="B9" s="54"/>
      <c r="G9" s="88"/>
    </row>
    <row r="10" spans="2:14" ht="15" customHeight="1" thickTop="1" x14ac:dyDescent="0.25">
      <c r="B10" s="54"/>
      <c r="C10" s="429" t="s">
        <v>52</v>
      </c>
      <c r="D10" s="429" t="s">
        <v>53</v>
      </c>
      <c r="E10" s="429" t="s">
        <v>54</v>
      </c>
      <c r="F10" s="433" t="s">
        <v>55</v>
      </c>
      <c r="G10" s="88"/>
      <c r="I10" s="429" t="s">
        <v>56</v>
      </c>
      <c r="J10" s="429" t="s">
        <v>57</v>
      </c>
      <c r="K10" s="431" t="s">
        <v>392</v>
      </c>
      <c r="L10" s="431" t="s">
        <v>58</v>
      </c>
    </row>
    <row r="11" spans="2:14" ht="15" customHeight="1" thickBot="1" x14ac:dyDescent="0.3">
      <c r="B11" s="54"/>
      <c r="C11" s="430"/>
      <c r="D11" s="430"/>
      <c r="E11" s="430"/>
      <c r="F11" s="434"/>
      <c r="G11" s="88"/>
      <c r="I11" s="430"/>
      <c r="J11" s="430"/>
      <c r="K11" s="432"/>
      <c r="L11" s="432"/>
    </row>
    <row r="12" spans="2:14" ht="30.75" thickTop="1" x14ac:dyDescent="0.25">
      <c r="B12" s="54"/>
      <c r="C12" s="423" t="s">
        <v>59</v>
      </c>
      <c r="D12" s="89" t="s">
        <v>60</v>
      </c>
      <c r="E12" s="233" t="s">
        <v>61</v>
      </c>
      <c r="F12" s="256" t="s">
        <v>62</v>
      </c>
      <c r="G12" s="88"/>
      <c r="I12" s="9" t="s">
        <v>59</v>
      </c>
      <c r="J12" s="9" cm="1">
        <f t="array" ref="J12">AVERAGE(IFERROR(VLOOKUP(F12:F20,'Response Options'!D5:E10,2,FALSE),0))</f>
        <v>4</v>
      </c>
      <c r="K12" s="9" t="str" cm="1">
        <f t="array" ref="K12:K17">_xlfn.SORTBY(I12:I17,J12:J17,-1)</f>
        <v>Improve Safety &amp; Security</v>
      </c>
      <c r="L12" s="93" t="s">
        <v>63</v>
      </c>
    </row>
    <row r="13" spans="2:14" ht="30" x14ac:dyDescent="0.25">
      <c r="B13" s="54"/>
      <c r="C13" s="424"/>
      <c r="D13" s="45" t="s">
        <v>64</v>
      </c>
      <c r="E13" s="234" t="s">
        <v>65</v>
      </c>
      <c r="F13" s="257" t="s">
        <v>92</v>
      </c>
      <c r="G13" s="88"/>
      <c r="I13" s="9" t="s">
        <v>67</v>
      </c>
      <c r="J13" s="9" cm="1">
        <f t="array" ref="J13">AVERAGE(IFERROR(VLOOKUP(F21:F25,'Response Options'!D5:E10,2,FALSE),0))</f>
        <v>3.4</v>
      </c>
      <c r="K13" s="9" t="str">
        <v>Provide Patient Choice and Control</v>
      </c>
      <c r="L13" s="94" t="s">
        <v>68</v>
      </c>
    </row>
    <row r="14" spans="2:14" ht="30" x14ac:dyDescent="0.25">
      <c r="B14" s="54"/>
      <c r="C14" s="424"/>
      <c r="D14" s="45" t="s">
        <v>416</v>
      </c>
      <c r="E14" s="234" t="s">
        <v>415</v>
      </c>
      <c r="F14" s="257" t="s">
        <v>62</v>
      </c>
      <c r="G14" s="88"/>
      <c r="I14" s="9" t="s">
        <v>69</v>
      </c>
      <c r="J14" s="9" cm="1">
        <f t="array" ref="J14">AVERAGE(IFERROR(VLOOKUP(F26:F30,'Response Options'!D5:E10,2,FALSE),0))</f>
        <v>1.8</v>
      </c>
      <c r="K14" s="9" t="str">
        <v>Improve Overall Comfort for All Users</v>
      </c>
      <c r="L14" s="95" t="s">
        <v>70</v>
      </c>
    </row>
    <row r="15" spans="2:14" ht="30" x14ac:dyDescent="0.25">
      <c r="B15" s="54"/>
      <c r="C15" s="424"/>
      <c r="D15" s="45" t="s">
        <v>71</v>
      </c>
      <c r="E15" s="234" t="s">
        <v>72</v>
      </c>
      <c r="F15" s="257" t="s">
        <v>111</v>
      </c>
      <c r="G15" s="88"/>
      <c r="I15" s="9" t="s">
        <v>73</v>
      </c>
      <c r="J15" s="9" cm="1">
        <f t="array" ref="J15">AVERAGE(IFERROR(VLOOKUP(F31:F35,'Response Options'!D5:E10,2,FALSE),0))</f>
        <v>3.8</v>
      </c>
      <c r="K15" s="9" t="str">
        <v>Optimize Efficiency &amp; Effectiveness</v>
      </c>
      <c r="L15" s="96" t="s">
        <v>74</v>
      </c>
    </row>
    <row r="16" spans="2:14" ht="30" x14ac:dyDescent="0.25">
      <c r="B16" s="54"/>
      <c r="C16" s="424"/>
      <c r="D16" s="45" t="s">
        <v>75</v>
      </c>
      <c r="E16" s="234" t="s">
        <v>76</v>
      </c>
      <c r="F16" s="257" t="s">
        <v>62</v>
      </c>
      <c r="G16" s="88"/>
      <c r="I16" s="9" t="s">
        <v>78</v>
      </c>
      <c r="J16" s="9" cm="1">
        <f t="array" ref="J16">AVERAGE(IFERROR(VLOOKUP(F36:F39,'Response Options'!D5:E10,2,FALSE),0))</f>
        <v>2.25</v>
      </c>
      <c r="K16" s="9" t="str">
        <v>Improve Patient and Family Agency</v>
      </c>
      <c r="L16" s="97" t="s">
        <v>79</v>
      </c>
    </row>
    <row r="17" spans="2:12" ht="30.75" customHeight="1" x14ac:dyDescent="0.25">
      <c r="B17" s="54"/>
      <c r="C17" s="424"/>
      <c r="D17" s="45" t="s">
        <v>80</v>
      </c>
      <c r="E17" s="234" t="s">
        <v>81</v>
      </c>
      <c r="F17" s="257" t="s">
        <v>66</v>
      </c>
      <c r="G17" s="88"/>
      <c r="I17" s="9" t="s">
        <v>82</v>
      </c>
      <c r="J17" s="9" cm="1">
        <f t="array" ref="J17">AVERAGE(IFERROR(VLOOKUP(F40:F42,'Response Options'!D5:E10,2,FALSE),0))</f>
        <v>4</v>
      </c>
      <c r="K17" s="9" t="str">
        <v>Improve Communication</v>
      </c>
      <c r="L17" s="98" t="s">
        <v>83</v>
      </c>
    </row>
    <row r="18" spans="2:12" ht="30.75" customHeight="1" x14ac:dyDescent="0.25">
      <c r="B18" s="54"/>
      <c r="C18" s="424"/>
      <c r="D18" s="45" t="s">
        <v>84</v>
      </c>
      <c r="E18" s="234" t="s">
        <v>85</v>
      </c>
      <c r="F18" s="257" t="s">
        <v>62</v>
      </c>
      <c r="G18" s="88"/>
    </row>
    <row r="19" spans="2:12" ht="31.5" customHeight="1" x14ac:dyDescent="0.25">
      <c r="B19" s="54"/>
      <c r="C19" s="424"/>
      <c r="D19" s="45" t="s">
        <v>87</v>
      </c>
      <c r="E19" s="234" t="s">
        <v>88</v>
      </c>
      <c r="F19" s="257" t="s">
        <v>62</v>
      </c>
      <c r="G19" s="88"/>
    </row>
    <row r="20" spans="2:12" ht="31.5" customHeight="1" x14ac:dyDescent="0.25">
      <c r="B20" s="54"/>
      <c r="C20" s="425"/>
      <c r="D20" s="90" t="s">
        <v>90</v>
      </c>
      <c r="E20" s="235" t="s">
        <v>91</v>
      </c>
      <c r="F20" s="257" t="s">
        <v>62</v>
      </c>
      <c r="G20" s="88"/>
    </row>
    <row r="21" spans="2:12" ht="31.5" customHeight="1" x14ac:dyDescent="0.25">
      <c r="B21" s="54"/>
      <c r="C21" s="426" t="s">
        <v>67</v>
      </c>
      <c r="D21" s="89" t="s">
        <v>411</v>
      </c>
      <c r="E21" s="236" t="s">
        <v>412</v>
      </c>
      <c r="F21" s="257" t="s">
        <v>89</v>
      </c>
      <c r="G21" s="88"/>
    </row>
    <row r="22" spans="2:12" ht="31.5" customHeight="1" x14ac:dyDescent="0.25">
      <c r="B22" s="54"/>
      <c r="C22" s="427"/>
      <c r="D22" s="45" t="s">
        <v>93</v>
      </c>
      <c r="E22" s="234" t="s">
        <v>94</v>
      </c>
      <c r="F22" s="257" t="s">
        <v>77</v>
      </c>
      <c r="G22" s="88"/>
    </row>
    <row r="23" spans="2:12" ht="31.5" customHeight="1" x14ac:dyDescent="0.25">
      <c r="B23" s="54"/>
      <c r="C23" s="427"/>
      <c r="D23" s="45" t="s">
        <v>95</v>
      </c>
      <c r="E23" s="234" t="s">
        <v>96</v>
      </c>
      <c r="F23" s="257" t="s">
        <v>66</v>
      </c>
      <c r="G23" s="88"/>
    </row>
    <row r="24" spans="2:12" ht="31.5" customHeight="1" x14ac:dyDescent="0.25">
      <c r="B24" s="54"/>
      <c r="C24" s="427"/>
      <c r="D24" s="45" t="s">
        <v>97</v>
      </c>
      <c r="E24" s="234" t="s">
        <v>98</v>
      </c>
      <c r="F24" s="257" t="s">
        <v>62</v>
      </c>
      <c r="G24" s="88"/>
    </row>
    <row r="25" spans="2:12" ht="31.5" customHeight="1" x14ac:dyDescent="0.25">
      <c r="B25" s="54"/>
      <c r="C25" s="428"/>
      <c r="D25" s="90" t="s">
        <v>99</v>
      </c>
      <c r="E25" s="237" t="s">
        <v>100</v>
      </c>
      <c r="F25" s="257" t="s">
        <v>62</v>
      </c>
      <c r="G25" s="88"/>
    </row>
    <row r="26" spans="2:12" ht="31.5" customHeight="1" x14ac:dyDescent="0.25">
      <c r="B26" s="54"/>
      <c r="C26" s="423" t="s">
        <v>69</v>
      </c>
      <c r="D26" s="89" t="s">
        <v>101</v>
      </c>
      <c r="E26" s="236" t="s">
        <v>102</v>
      </c>
      <c r="F26" s="257" t="s">
        <v>89</v>
      </c>
      <c r="G26" s="88"/>
    </row>
    <row r="27" spans="2:12" ht="31.5" customHeight="1" x14ac:dyDescent="0.25">
      <c r="B27" s="54"/>
      <c r="C27" s="424"/>
      <c r="D27" s="45" t="s">
        <v>103</v>
      </c>
      <c r="E27" s="234" t="s">
        <v>104</v>
      </c>
      <c r="F27" s="257" t="s">
        <v>92</v>
      </c>
      <c r="G27" s="88"/>
    </row>
    <row r="28" spans="2:12" ht="31.5" customHeight="1" x14ac:dyDescent="0.25">
      <c r="B28" s="54"/>
      <c r="C28" s="424"/>
      <c r="D28" s="45" t="s">
        <v>105</v>
      </c>
      <c r="E28" s="234" t="s">
        <v>106</v>
      </c>
      <c r="F28" s="257" t="s">
        <v>77</v>
      </c>
      <c r="G28" s="88"/>
    </row>
    <row r="29" spans="2:12" ht="31.5" customHeight="1" x14ac:dyDescent="0.25">
      <c r="B29" s="54"/>
      <c r="C29" s="424"/>
      <c r="D29" s="45" t="s">
        <v>107</v>
      </c>
      <c r="E29" s="234" t="s">
        <v>108</v>
      </c>
      <c r="F29" s="257" t="s">
        <v>92</v>
      </c>
      <c r="G29" s="88"/>
    </row>
    <row r="30" spans="2:12" ht="31.5" customHeight="1" x14ac:dyDescent="0.25">
      <c r="B30" s="54"/>
      <c r="C30" s="425"/>
      <c r="D30" s="90" t="s">
        <v>109</v>
      </c>
      <c r="E30" s="237" t="s">
        <v>110</v>
      </c>
      <c r="F30" s="257" t="s">
        <v>111</v>
      </c>
      <c r="G30" s="88"/>
    </row>
    <row r="31" spans="2:12" ht="31.5" customHeight="1" x14ac:dyDescent="0.25">
      <c r="B31" s="54"/>
      <c r="C31" s="426" t="s">
        <v>73</v>
      </c>
      <c r="D31" s="89" t="s">
        <v>112</v>
      </c>
      <c r="E31" s="236" t="s">
        <v>113</v>
      </c>
      <c r="F31" s="257" t="s">
        <v>62</v>
      </c>
      <c r="G31" s="88"/>
    </row>
    <row r="32" spans="2:12" ht="31.5" customHeight="1" x14ac:dyDescent="0.25">
      <c r="B32" s="54"/>
      <c r="C32" s="427"/>
      <c r="D32" s="45" t="s">
        <v>114</v>
      </c>
      <c r="E32" s="234" t="s">
        <v>115</v>
      </c>
      <c r="F32" s="257" t="s">
        <v>66</v>
      </c>
      <c r="G32" s="88"/>
    </row>
    <row r="33" spans="2:7" ht="31.5" customHeight="1" x14ac:dyDescent="0.25">
      <c r="B33" s="54"/>
      <c r="C33" s="427"/>
      <c r="D33" s="45" t="s">
        <v>116</v>
      </c>
      <c r="E33" s="234" t="s">
        <v>117</v>
      </c>
      <c r="F33" s="257" t="s">
        <v>62</v>
      </c>
      <c r="G33" s="88"/>
    </row>
    <row r="34" spans="2:7" ht="31.5" customHeight="1" x14ac:dyDescent="0.25">
      <c r="B34" s="54"/>
      <c r="C34" s="427"/>
      <c r="D34" s="45" t="s">
        <v>118</v>
      </c>
      <c r="E34" s="234" t="s">
        <v>119</v>
      </c>
      <c r="F34" s="257" t="s">
        <v>62</v>
      </c>
      <c r="G34" s="88"/>
    </row>
    <row r="35" spans="2:7" ht="31.5" customHeight="1" x14ac:dyDescent="0.25">
      <c r="B35" s="54"/>
      <c r="C35" s="428"/>
      <c r="D35" s="90" t="s">
        <v>120</v>
      </c>
      <c r="E35" s="237" t="s">
        <v>121</v>
      </c>
      <c r="F35" s="257" t="s">
        <v>111</v>
      </c>
      <c r="G35" s="88"/>
    </row>
    <row r="36" spans="2:7" ht="31.5" customHeight="1" x14ac:dyDescent="0.25">
      <c r="B36" s="54"/>
      <c r="C36" s="426" t="s">
        <v>78</v>
      </c>
      <c r="D36" s="89" t="s">
        <v>122</v>
      </c>
      <c r="E36" s="236" t="s">
        <v>123</v>
      </c>
      <c r="F36" s="257" t="s">
        <v>92</v>
      </c>
      <c r="G36" s="88"/>
    </row>
    <row r="37" spans="2:7" ht="31.5" customHeight="1" x14ac:dyDescent="0.25">
      <c r="B37" s="54"/>
      <c r="C37" s="427"/>
      <c r="D37" s="45" t="s">
        <v>124</v>
      </c>
      <c r="E37" s="234" t="s">
        <v>125</v>
      </c>
      <c r="F37" s="257" t="s">
        <v>89</v>
      </c>
      <c r="G37" s="88"/>
    </row>
    <row r="38" spans="2:7" ht="31.5" customHeight="1" x14ac:dyDescent="0.25">
      <c r="B38" s="54"/>
      <c r="C38" s="427"/>
      <c r="D38" s="45" t="s">
        <v>126</v>
      </c>
      <c r="E38" s="234" t="s">
        <v>127</v>
      </c>
      <c r="F38" s="257" t="s">
        <v>66</v>
      </c>
      <c r="G38" s="88"/>
    </row>
    <row r="39" spans="2:7" ht="31.5" customHeight="1" x14ac:dyDescent="0.25">
      <c r="B39" s="54"/>
      <c r="C39" s="428"/>
      <c r="D39" s="90" t="s">
        <v>128</v>
      </c>
      <c r="E39" s="237" t="s">
        <v>129</v>
      </c>
      <c r="F39" s="257" t="s">
        <v>77</v>
      </c>
      <c r="G39" s="88"/>
    </row>
    <row r="40" spans="2:7" ht="31.5" customHeight="1" x14ac:dyDescent="0.25">
      <c r="B40" s="54"/>
      <c r="C40" s="426" t="s">
        <v>82</v>
      </c>
      <c r="D40" s="89" t="s">
        <v>130</v>
      </c>
      <c r="E40" s="236" t="s">
        <v>131</v>
      </c>
      <c r="F40" s="257" t="s">
        <v>62</v>
      </c>
      <c r="G40" s="88"/>
    </row>
    <row r="41" spans="2:7" ht="31.5" customHeight="1" x14ac:dyDescent="0.25">
      <c r="B41" s="54"/>
      <c r="C41" s="427"/>
      <c r="D41" s="45" t="s">
        <v>132</v>
      </c>
      <c r="E41" s="234" t="s">
        <v>133</v>
      </c>
      <c r="F41" s="257" t="s">
        <v>62</v>
      </c>
      <c r="G41" s="88"/>
    </row>
    <row r="42" spans="2:7" ht="31.5" customHeight="1" thickBot="1" x14ac:dyDescent="0.3">
      <c r="B42" s="54"/>
      <c r="C42" s="428"/>
      <c r="D42" s="90" t="s">
        <v>134</v>
      </c>
      <c r="E42" s="237" t="s">
        <v>135</v>
      </c>
      <c r="F42" s="258" t="s">
        <v>92</v>
      </c>
      <c r="G42" s="88"/>
    </row>
    <row r="43" spans="2:7" ht="15.75" thickTop="1" x14ac:dyDescent="0.25">
      <c r="B43" s="117"/>
      <c r="C43" s="118"/>
      <c r="D43" s="118"/>
      <c r="E43" s="118"/>
      <c r="F43" s="119"/>
      <c r="G43" s="120"/>
    </row>
  </sheetData>
  <mergeCells count="14">
    <mergeCell ref="J10:J11"/>
    <mergeCell ref="K10:K11"/>
    <mergeCell ref="L10:L11"/>
    <mergeCell ref="C10:C11"/>
    <mergeCell ref="D10:D11"/>
    <mergeCell ref="E10:E11"/>
    <mergeCell ref="F10:F11"/>
    <mergeCell ref="I10:I11"/>
    <mergeCell ref="C26:C30"/>
    <mergeCell ref="C31:C35"/>
    <mergeCell ref="C36:C39"/>
    <mergeCell ref="C40:C42"/>
    <mergeCell ref="C12:C20"/>
    <mergeCell ref="C21:C25"/>
  </mergeCells>
  <conditionalFormatting sqref="D6">
    <cfRule type="containsText" dxfId="22" priority="1" operator="containsText" text="Critically Important / Essential">
      <formula>NOT(ISERROR(SEARCH("Critically Important / Essential",#REF!)))</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2BCEB301-52AE-47AA-B6D4-181338EEFDEA}">
          <x14:formula1>
            <xm:f>'Response Options'!$D$5:$D$10</xm:f>
          </x14:formula1>
          <xm:sqref>F12:F42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185762-8413-46DD-862F-A1500D160667}">
  <dimension ref="A1:AT125"/>
  <sheetViews>
    <sheetView workbookViewId="0"/>
  </sheetViews>
  <sheetFormatPr defaultRowHeight="32.25" customHeight="1" x14ac:dyDescent="0.25"/>
  <cols>
    <col min="2" max="2" width="6.140625" style="121" customWidth="1"/>
    <col min="3" max="3" width="43.85546875" style="138" customWidth="1"/>
    <col min="4" max="4" width="33.42578125" style="160" customWidth="1"/>
    <col min="5" max="5" width="43.42578125" style="139" customWidth="1"/>
    <col min="6" max="6" width="41.140625" style="139" customWidth="1"/>
    <col min="7" max="9" width="6.28515625" style="139" customWidth="1"/>
    <col min="10" max="10" width="6.28515625" style="160" customWidth="1"/>
    <col min="11" max="12" width="12" style="137" hidden="1" customWidth="1"/>
    <col min="13" max="13" width="20.140625" style="121" bestFit="1" customWidth="1"/>
    <col min="14" max="44" width="10.140625" style="51" customWidth="1"/>
  </cols>
  <sheetData>
    <row r="1" spans="1:46" ht="32.25" customHeight="1" x14ac:dyDescent="0.25">
      <c r="A1" s="44" t="s">
        <v>136</v>
      </c>
      <c r="D1" s="138"/>
      <c r="J1" s="138"/>
      <c r="K1" s="129"/>
      <c r="L1" s="129"/>
    </row>
    <row r="2" spans="1:46" s="1" customFormat="1" ht="32.25" customHeight="1" x14ac:dyDescent="0.25">
      <c r="B2" s="7" t="s">
        <v>404</v>
      </c>
      <c r="C2" s="140"/>
      <c r="D2" s="140"/>
      <c r="E2" s="141"/>
      <c r="F2" s="141"/>
      <c r="G2" s="141"/>
      <c r="H2" s="141"/>
      <c r="I2" s="141"/>
      <c r="J2" s="140"/>
      <c r="K2" s="130"/>
      <c r="L2" s="130"/>
      <c r="M2" s="126"/>
      <c r="N2" s="52"/>
      <c r="O2" s="52"/>
      <c r="P2" s="52"/>
      <c r="Q2" s="52"/>
      <c r="R2" s="52"/>
      <c r="S2" s="52"/>
      <c r="T2" s="52"/>
      <c r="U2" s="52"/>
      <c r="V2" s="52"/>
      <c r="W2" s="52"/>
      <c r="X2" s="52"/>
      <c r="Y2" s="52"/>
      <c r="Z2" s="52"/>
      <c r="AA2" s="52"/>
      <c r="AB2" s="52"/>
      <c r="AC2" s="52"/>
      <c r="AD2" s="52"/>
      <c r="AE2" s="52"/>
      <c r="AF2" s="52"/>
      <c r="AG2" s="52"/>
      <c r="AH2" s="52"/>
      <c r="AI2" s="52"/>
      <c r="AJ2" s="52"/>
      <c r="AK2" s="52"/>
      <c r="AL2" s="52"/>
      <c r="AM2" s="52"/>
      <c r="AN2" s="52"/>
      <c r="AO2" s="52"/>
      <c r="AP2" s="52"/>
      <c r="AQ2" s="52"/>
      <c r="AR2" s="52"/>
    </row>
    <row r="3" spans="1:46" s="4" customFormat="1" ht="32.25" customHeight="1" x14ac:dyDescent="0.25">
      <c r="B3" s="127"/>
      <c r="C3" s="255" t="s">
        <v>137</v>
      </c>
      <c r="D3" s="142"/>
      <c r="E3" s="143"/>
      <c r="F3" s="143"/>
      <c r="G3" s="143"/>
      <c r="H3" s="143"/>
      <c r="I3" s="143"/>
      <c r="J3" s="142"/>
      <c r="K3" s="131"/>
      <c r="L3" s="131"/>
      <c r="M3" s="128"/>
      <c r="N3" s="53"/>
      <c r="O3" s="53"/>
      <c r="P3" s="53"/>
      <c r="Q3" s="53"/>
      <c r="R3" s="53"/>
      <c r="S3" s="53"/>
      <c r="T3" s="53"/>
      <c r="U3" s="53"/>
      <c r="V3" s="53"/>
      <c r="W3" s="53"/>
      <c r="X3" s="53"/>
      <c r="Y3" s="53"/>
      <c r="Z3" s="53"/>
      <c r="AA3" s="53"/>
      <c r="AB3" s="53"/>
      <c r="AC3" s="53"/>
      <c r="AD3" s="53"/>
      <c r="AE3" s="53"/>
      <c r="AF3" s="53"/>
      <c r="AG3" s="53"/>
      <c r="AH3" s="53"/>
      <c r="AI3" s="53"/>
      <c r="AJ3" s="53"/>
      <c r="AK3" s="53"/>
      <c r="AL3" s="53"/>
      <c r="AM3" s="53"/>
      <c r="AN3" s="53"/>
      <c r="AO3" s="53"/>
      <c r="AP3" s="53"/>
      <c r="AQ3" s="53"/>
      <c r="AR3" s="53"/>
    </row>
    <row r="4" spans="1:46" s="2" customFormat="1" ht="32.25" customHeight="1" x14ac:dyDescent="0.25">
      <c r="B4" s="419" t="s">
        <v>138</v>
      </c>
      <c r="C4" s="419"/>
      <c r="D4" s="475" t="s">
        <v>5</v>
      </c>
      <c r="E4" s="477" t="s">
        <v>139</v>
      </c>
      <c r="F4" s="475" t="s">
        <v>140</v>
      </c>
      <c r="G4" s="480" t="s">
        <v>141</v>
      </c>
      <c r="H4" s="481"/>
      <c r="I4" s="481"/>
      <c r="J4" s="482"/>
      <c r="K4" s="471" t="s">
        <v>142</v>
      </c>
      <c r="L4" s="473" t="s">
        <v>143</v>
      </c>
      <c r="M4" s="470" t="s">
        <v>55</v>
      </c>
      <c r="N4" s="492" t="s">
        <v>144</v>
      </c>
      <c r="O4" s="493"/>
      <c r="P4" s="493"/>
      <c r="Q4" s="493"/>
      <c r="R4" s="493"/>
      <c r="S4" s="493"/>
      <c r="T4" s="493"/>
      <c r="U4" s="493"/>
      <c r="V4" s="493"/>
      <c r="W4" s="493"/>
      <c r="X4" s="493"/>
      <c r="Y4" s="493"/>
      <c r="Z4" s="493"/>
      <c r="AA4" s="493"/>
      <c r="AB4" s="493"/>
      <c r="AC4" s="493"/>
      <c r="AD4" s="493"/>
      <c r="AE4" s="493"/>
      <c r="AF4" s="493"/>
      <c r="AG4" s="493"/>
      <c r="AH4" s="493"/>
      <c r="AI4" s="493"/>
      <c r="AJ4" s="493"/>
      <c r="AK4" s="493"/>
      <c r="AL4" s="493"/>
      <c r="AM4" s="493"/>
      <c r="AN4" s="493"/>
      <c r="AO4" s="493"/>
      <c r="AP4" s="493"/>
      <c r="AQ4" s="493"/>
      <c r="AR4" s="494"/>
      <c r="AS4" s="7"/>
      <c r="AT4" s="7"/>
    </row>
    <row r="5" spans="1:46" s="46" customFormat="1" ht="32.25" customHeight="1" x14ac:dyDescent="0.25">
      <c r="B5" s="419"/>
      <c r="C5" s="419"/>
      <c r="D5" s="475"/>
      <c r="E5" s="478"/>
      <c r="F5" s="475"/>
      <c r="G5" s="483" t="s">
        <v>145</v>
      </c>
      <c r="H5" s="485" t="s">
        <v>146</v>
      </c>
      <c r="I5" s="485" t="s">
        <v>147</v>
      </c>
      <c r="J5" s="487" t="s">
        <v>432</v>
      </c>
      <c r="K5" s="471"/>
      <c r="L5" s="473"/>
      <c r="M5" s="470"/>
      <c r="N5" s="495" t="s">
        <v>59</v>
      </c>
      <c r="O5" s="496"/>
      <c r="P5" s="496"/>
      <c r="Q5" s="496"/>
      <c r="R5" s="496"/>
      <c r="S5" s="496"/>
      <c r="T5" s="496"/>
      <c r="U5" s="496"/>
      <c r="V5" s="497"/>
      <c r="W5" s="495" t="s">
        <v>67</v>
      </c>
      <c r="X5" s="496"/>
      <c r="Y5" s="496"/>
      <c r="Z5" s="496"/>
      <c r="AA5" s="497"/>
      <c r="AB5" s="495" t="s">
        <v>69</v>
      </c>
      <c r="AC5" s="496"/>
      <c r="AD5" s="496"/>
      <c r="AE5" s="496"/>
      <c r="AF5" s="497"/>
      <c r="AG5" s="495" t="s">
        <v>73</v>
      </c>
      <c r="AH5" s="496"/>
      <c r="AI5" s="496"/>
      <c r="AJ5" s="496"/>
      <c r="AK5" s="497"/>
      <c r="AL5" s="495" t="s">
        <v>78</v>
      </c>
      <c r="AM5" s="496"/>
      <c r="AN5" s="496"/>
      <c r="AO5" s="497"/>
      <c r="AP5" s="495" t="s">
        <v>82</v>
      </c>
      <c r="AQ5" s="496"/>
      <c r="AR5" s="498"/>
      <c r="AS5" s="47"/>
      <c r="AT5" s="47"/>
    </row>
    <row r="6" spans="1:46" s="2" customFormat="1" ht="108" customHeight="1" x14ac:dyDescent="0.25">
      <c r="B6" s="419"/>
      <c r="C6" s="419"/>
      <c r="D6" s="476"/>
      <c r="E6" s="479"/>
      <c r="F6" s="476"/>
      <c r="G6" s="484"/>
      <c r="H6" s="486"/>
      <c r="I6" s="486"/>
      <c r="J6" s="488"/>
      <c r="K6" s="472"/>
      <c r="L6" s="474"/>
      <c r="M6" s="470"/>
      <c r="N6" s="49" t="s">
        <v>60</v>
      </c>
      <c r="O6" s="48" t="s">
        <v>64</v>
      </c>
      <c r="P6" s="48" t="s">
        <v>416</v>
      </c>
      <c r="Q6" s="48" t="s">
        <v>71</v>
      </c>
      <c r="R6" s="48" t="s">
        <v>75</v>
      </c>
      <c r="S6" s="48" t="s">
        <v>384</v>
      </c>
      <c r="T6" s="48" t="s">
        <v>84</v>
      </c>
      <c r="U6" s="48" t="s">
        <v>87</v>
      </c>
      <c r="V6" s="48" t="s">
        <v>90</v>
      </c>
      <c r="W6" s="49" t="s">
        <v>411</v>
      </c>
      <c r="X6" s="49" t="s">
        <v>93</v>
      </c>
      <c r="Y6" s="49" t="s">
        <v>95</v>
      </c>
      <c r="Z6" s="49" t="s">
        <v>97</v>
      </c>
      <c r="AA6" s="49" t="s">
        <v>99</v>
      </c>
      <c r="AB6" s="49" t="s">
        <v>101</v>
      </c>
      <c r="AC6" s="49" t="s">
        <v>103</v>
      </c>
      <c r="AD6" s="49" t="s">
        <v>105</v>
      </c>
      <c r="AE6" s="49" t="s">
        <v>107</v>
      </c>
      <c r="AF6" s="49" t="s">
        <v>109</v>
      </c>
      <c r="AG6" s="49" t="s">
        <v>112</v>
      </c>
      <c r="AH6" s="49" t="s">
        <v>114</v>
      </c>
      <c r="AI6" s="49" t="s">
        <v>116</v>
      </c>
      <c r="AJ6" s="49" t="s">
        <v>118</v>
      </c>
      <c r="AK6" s="49" t="s">
        <v>120</v>
      </c>
      <c r="AL6" s="49" t="s">
        <v>122</v>
      </c>
      <c r="AM6" s="49" t="s">
        <v>124</v>
      </c>
      <c r="AN6" s="49" t="s">
        <v>126</v>
      </c>
      <c r="AO6" s="49" t="s">
        <v>128</v>
      </c>
      <c r="AP6" s="50" t="s">
        <v>130</v>
      </c>
      <c r="AQ6" s="50" t="s">
        <v>132</v>
      </c>
      <c r="AR6" s="65" t="s">
        <v>134</v>
      </c>
      <c r="AS6" s="7"/>
      <c r="AT6" s="7"/>
    </row>
    <row r="7" spans="1:46" ht="15" customHeight="1" x14ac:dyDescent="0.25">
      <c r="A7" s="161"/>
      <c r="B7" s="132"/>
      <c r="C7" s="144" t="s">
        <v>148</v>
      </c>
      <c r="D7" s="240"/>
      <c r="E7" s="146"/>
      <c r="F7" s="246"/>
      <c r="G7" s="172"/>
      <c r="H7" s="173"/>
      <c r="I7" s="173"/>
      <c r="J7" s="174"/>
      <c r="K7" s="132"/>
      <c r="L7" s="132"/>
      <c r="M7" s="145"/>
      <c r="N7" s="60"/>
      <c r="O7" s="61"/>
      <c r="P7" s="61"/>
      <c r="Q7" s="61"/>
      <c r="R7" s="61"/>
      <c r="S7" s="61"/>
      <c r="T7" s="61"/>
      <c r="U7" s="61"/>
      <c r="V7" s="62"/>
      <c r="W7" s="60"/>
      <c r="X7" s="61"/>
      <c r="Y7" s="61"/>
      <c r="Z7" s="61"/>
      <c r="AA7" s="62"/>
      <c r="AB7" s="60"/>
      <c r="AC7" s="61"/>
      <c r="AD7" s="61"/>
      <c r="AE7" s="61"/>
      <c r="AF7" s="62"/>
      <c r="AG7" s="60"/>
      <c r="AH7" s="61"/>
      <c r="AI7" s="61"/>
      <c r="AJ7" s="61"/>
      <c r="AK7" s="62"/>
      <c r="AL7" s="60"/>
      <c r="AM7" s="61"/>
      <c r="AN7" s="61"/>
      <c r="AO7" s="62"/>
      <c r="AP7" s="60"/>
      <c r="AQ7" s="61"/>
      <c r="AR7" s="63"/>
    </row>
    <row r="8" spans="1:46" ht="15" customHeight="1" x14ac:dyDescent="0.25">
      <c r="A8" s="161"/>
      <c r="B8" s="162">
        <v>1</v>
      </c>
      <c r="C8" s="147" t="s">
        <v>149</v>
      </c>
      <c r="D8" s="241"/>
      <c r="E8" s="148"/>
      <c r="F8" s="247"/>
      <c r="G8" s="175"/>
      <c r="H8" s="176"/>
      <c r="I8" s="176"/>
      <c r="J8" s="206"/>
      <c r="K8" s="205"/>
      <c r="L8" s="205"/>
      <c r="M8" s="204"/>
      <c r="N8" s="208"/>
      <c r="V8" s="207"/>
      <c r="W8" s="208"/>
      <c r="AA8" s="207"/>
      <c r="AB8" s="208"/>
      <c r="AF8" s="207"/>
      <c r="AG8" s="208"/>
      <c r="AK8" s="207"/>
      <c r="AL8" s="208"/>
      <c r="AO8" s="207"/>
      <c r="AP8" s="208"/>
      <c r="AR8" s="206"/>
    </row>
    <row r="9" spans="1:46" ht="54" customHeight="1" x14ac:dyDescent="0.25">
      <c r="A9" s="161"/>
      <c r="B9" s="447">
        <v>1.1000000000000001</v>
      </c>
      <c r="C9" s="449" t="s">
        <v>150</v>
      </c>
      <c r="D9" s="451"/>
      <c r="E9" s="166" t="s">
        <v>151</v>
      </c>
      <c r="F9" s="248"/>
      <c r="G9" s="177" t="s">
        <v>152</v>
      </c>
      <c r="H9" s="178" t="s">
        <v>152</v>
      </c>
      <c r="I9" s="178" t="s">
        <v>152</v>
      </c>
      <c r="J9" s="179" t="s">
        <v>152</v>
      </c>
      <c r="K9" s="447" cm="1">
        <f t="array" ref="K9">SUMPRODUCT(IFERROR(VLOOKUP(N9:AR9,'Response Options'!$D$5:$E$10,2,FALSE),0))/COUNTA(N9:AR9)</f>
        <v>3</v>
      </c>
      <c r="L9" s="447">
        <f>ROUND(K9,0)</f>
        <v>3</v>
      </c>
      <c r="M9" s="443" t="str">
        <f>_xlfn.XLOOKUP(L9,'Response Options'!$E$5:$E$10,'Response Options'!$D$5:$D$10)</f>
        <v>Very Important</v>
      </c>
      <c r="N9" s="445" t="str">
        <f>'Outcome Priotization'!F12</f>
        <v>Critically Important / Essential</v>
      </c>
      <c r="O9" s="464"/>
      <c r="P9" s="464"/>
      <c r="Q9" s="435" t="str">
        <f>'Outcome Priotization'!F15</f>
        <v>Slightly important</v>
      </c>
      <c r="R9" s="461"/>
      <c r="S9" s="435" t="str">
        <f>'Outcome Priotization'!F17</f>
        <v>Very Important</v>
      </c>
      <c r="T9" s="464"/>
      <c r="U9" s="464"/>
      <c r="V9" s="466"/>
      <c r="W9" s="468"/>
      <c r="X9" s="464"/>
      <c r="Y9" s="464"/>
      <c r="Z9" s="464"/>
      <c r="AA9" s="466"/>
      <c r="AB9" s="468"/>
      <c r="AC9" s="464"/>
      <c r="AD9" s="464"/>
      <c r="AE9" s="464"/>
      <c r="AF9" s="466"/>
      <c r="AG9" s="468"/>
      <c r="AH9" s="464"/>
      <c r="AI9" s="464"/>
      <c r="AJ9" s="464"/>
      <c r="AK9" s="466"/>
      <c r="AL9" s="468"/>
      <c r="AM9" s="464"/>
      <c r="AN9" s="464"/>
      <c r="AO9" s="466"/>
      <c r="AP9" s="468"/>
      <c r="AQ9" s="464"/>
      <c r="AR9" s="462"/>
    </row>
    <row r="10" spans="1:46" ht="45" customHeight="1" x14ac:dyDescent="0.25">
      <c r="A10" s="161"/>
      <c r="B10" s="458"/>
      <c r="C10" s="459"/>
      <c r="D10" s="460"/>
      <c r="E10" s="150" t="s">
        <v>153</v>
      </c>
      <c r="F10" s="249"/>
      <c r="G10" s="180" t="s">
        <v>152</v>
      </c>
      <c r="H10" s="181" t="s">
        <v>152</v>
      </c>
      <c r="I10" s="181" t="s">
        <v>152</v>
      </c>
      <c r="J10" s="182" t="s">
        <v>152</v>
      </c>
      <c r="K10" s="458"/>
      <c r="L10" s="458"/>
      <c r="M10" s="457"/>
      <c r="N10" s="446"/>
      <c r="O10" s="465"/>
      <c r="P10" s="465"/>
      <c r="Q10" s="436"/>
      <c r="R10" s="489"/>
      <c r="S10" s="436"/>
      <c r="T10" s="465"/>
      <c r="U10" s="465"/>
      <c r="V10" s="467"/>
      <c r="W10" s="469"/>
      <c r="X10" s="465"/>
      <c r="Y10" s="465"/>
      <c r="Z10" s="465"/>
      <c r="AA10" s="467"/>
      <c r="AB10" s="469"/>
      <c r="AC10" s="465"/>
      <c r="AD10" s="465"/>
      <c r="AE10" s="465"/>
      <c r="AF10" s="467"/>
      <c r="AG10" s="469"/>
      <c r="AH10" s="465"/>
      <c r="AI10" s="465"/>
      <c r="AJ10" s="465"/>
      <c r="AK10" s="467"/>
      <c r="AL10" s="469"/>
      <c r="AM10" s="465"/>
      <c r="AN10" s="465"/>
      <c r="AO10" s="467"/>
      <c r="AP10" s="469"/>
      <c r="AQ10" s="465"/>
      <c r="AR10" s="463"/>
    </row>
    <row r="11" spans="1:46" ht="13.5" customHeight="1" x14ac:dyDescent="0.25">
      <c r="A11" s="161"/>
      <c r="B11" s="163">
        <v>2</v>
      </c>
      <c r="C11" s="151" t="s">
        <v>154</v>
      </c>
      <c r="D11" s="243"/>
      <c r="E11" s="153"/>
      <c r="F11" s="250"/>
      <c r="G11" s="183"/>
      <c r="H11" s="184"/>
      <c r="I11" s="184"/>
      <c r="J11" s="185"/>
      <c r="K11" s="133"/>
      <c r="L11" s="133"/>
      <c r="M11" s="152"/>
      <c r="N11" s="56"/>
      <c r="O11" s="57"/>
      <c r="P11" s="57"/>
      <c r="Q11" s="57"/>
      <c r="R11" s="57"/>
      <c r="S11" s="57"/>
      <c r="T11" s="57"/>
      <c r="U11" s="57"/>
      <c r="V11" s="58"/>
      <c r="W11" s="56"/>
      <c r="X11" s="57"/>
      <c r="Y11" s="57"/>
      <c r="Z11" s="57"/>
      <c r="AA11" s="58"/>
      <c r="AB11" s="56"/>
      <c r="AC11" s="57"/>
      <c r="AD11" s="57"/>
      <c r="AE11" s="57"/>
      <c r="AF11" s="58"/>
      <c r="AG11" s="56"/>
      <c r="AH11" s="57"/>
      <c r="AI11" s="57"/>
      <c r="AJ11" s="57"/>
      <c r="AK11" s="58"/>
      <c r="AL11" s="56"/>
      <c r="AM11" s="57"/>
      <c r="AN11" s="57"/>
      <c r="AO11" s="58"/>
      <c r="AP11" s="56"/>
      <c r="AQ11" s="57"/>
      <c r="AR11" s="59"/>
    </row>
    <row r="12" spans="1:46" s="121" customFormat="1" ht="48" customHeight="1" x14ac:dyDescent="0.25">
      <c r="A12" s="137"/>
      <c r="B12" s="202">
        <v>2.1</v>
      </c>
      <c r="C12" s="203" t="s">
        <v>155</v>
      </c>
      <c r="D12" s="242"/>
      <c r="E12" s="154" t="s">
        <v>156</v>
      </c>
      <c r="F12" s="251"/>
      <c r="G12" s="177" t="s">
        <v>152</v>
      </c>
      <c r="H12" s="178"/>
      <c r="I12" s="178"/>
      <c r="J12" s="186"/>
      <c r="K12" s="134" cm="1">
        <f t="array" ref="K12">SUMPRODUCT(IFERROR(VLOOKUP(N12:AR12,'Response Options'!$D$5:$E$10,2,FALSE),0))/COUNTA(N12:AR12)</f>
        <v>3.8571428571428572</v>
      </c>
      <c r="L12" s="134">
        <f t="shared" ref="L12:L54" si="0">ROUND(K12,0)</f>
        <v>4</v>
      </c>
      <c r="M12" s="149" t="str">
        <f>_xlfn.XLOOKUP(L12,'Response Options'!$E$5:$E$10,'Response Options'!$D$5:$D$10)</f>
        <v>Extremely Important</v>
      </c>
      <c r="N12" s="199" t="str">
        <f>'Outcome Priotization'!$F$12</f>
        <v>Critically Important / Essential</v>
      </c>
      <c r="O12" s="197" t="str">
        <f>'Outcome Priotization'!F13</f>
        <v>Moderately Important</v>
      </c>
      <c r="P12" s="197" t="str">
        <f>'Outcome Priotization'!F14</f>
        <v>Critically Important / Essential</v>
      </c>
      <c r="Q12" s="197" t="str">
        <f>'Outcome Priotization'!F15</f>
        <v>Slightly important</v>
      </c>
      <c r="R12" s="197" t="str">
        <f>'Outcome Priotization'!F16</f>
        <v>Critically Important / Essential</v>
      </c>
      <c r="S12" s="197" t="str">
        <f>'Outcome Priotization'!F17</f>
        <v>Very Important</v>
      </c>
      <c r="T12" s="197"/>
      <c r="U12" s="197" t="str">
        <f>'Outcome Priotization'!F19</f>
        <v>Critically Important / Essential</v>
      </c>
      <c r="V12" s="200"/>
      <c r="W12" s="199"/>
      <c r="X12" s="197" t="str">
        <f>'Outcome Priotization'!F22</f>
        <v>Slightly unimportant</v>
      </c>
      <c r="Y12" s="197" t="str">
        <f>'Outcome Priotization'!F23</f>
        <v>Very Important</v>
      </c>
      <c r="Z12" s="197" t="str">
        <f>'Outcome Priotization'!F24</f>
        <v>Critically Important / Essential</v>
      </c>
      <c r="AA12" s="200" t="str">
        <f>'Outcome Priotization'!F25</f>
        <v>Critically Important / Essential</v>
      </c>
      <c r="AB12" s="199"/>
      <c r="AC12" s="197"/>
      <c r="AD12" s="197"/>
      <c r="AE12" s="197"/>
      <c r="AF12" s="200"/>
      <c r="AG12" s="199"/>
      <c r="AH12" s="197"/>
      <c r="AI12" s="197" t="str">
        <f>'Outcome Priotization'!F33</f>
        <v>Critically Important / Essential</v>
      </c>
      <c r="AJ12" s="197" t="str">
        <f>'Outcome Priotization'!F34</f>
        <v>Critically Important / Essential</v>
      </c>
      <c r="AK12" s="200"/>
      <c r="AL12" s="199"/>
      <c r="AM12" s="197"/>
      <c r="AN12" s="197"/>
      <c r="AO12" s="200"/>
      <c r="AP12" s="199" t="str">
        <f>'Outcome Priotization'!F40</f>
        <v>Critically Important / Essential</v>
      </c>
      <c r="AQ12" s="197"/>
      <c r="AR12" s="198"/>
    </row>
    <row r="13" spans="1:46" s="121" customFormat="1" ht="48" customHeight="1" x14ac:dyDescent="0.25">
      <c r="A13" s="137"/>
      <c r="B13" s="447">
        <v>2.2000000000000002</v>
      </c>
      <c r="C13" s="449" t="s">
        <v>157</v>
      </c>
      <c r="D13" s="451"/>
      <c r="E13" s="154" t="s">
        <v>158</v>
      </c>
      <c r="F13" s="251"/>
      <c r="G13" s="177" t="s">
        <v>152</v>
      </c>
      <c r="H13" s="178" t="s">
        <v>152</v>
      </c>
      <c r="I13" s="178" t="s">
        <v>152</v>
      </c>
      <c r="J13" s="186" t="s">
        <v>152</v>
      </c>
      <c r="K13" s="447" cm="1">
        <f t="array" ref="K13">SUMPRODUCT(IFERROR(VLOOKUP(N13:AR13,'Response Options'!$D$5:$E$10,2,FALSE),0))/COUNTA(N13:AR13)</f>
        <v>3.3846153846153846</v>
      </c>
      <c r="L13" s="447">
        <f t="shared" si="0"/>
        <v>3</v>
      </c>
      <c r="M13" s="443" t="str">
        <f>_xlfn.XLOOKUP(L13,'Response Options'!$E$5:$E$10,'Response Options'!$D$5:$D$10)</f>
        <v>Very Important</v>
      </c>
      <c r="N13" s="445" t="str">
        <f>'Outcome Priotization'!$F$12</f>
        <v>Critically Important / Essential</v>
      </c>
      <c r="O13" s="435" t="str">
        <f>'Outcome Priotization'!F13</f>
        <v>Moderately Important</v>
      </c>
      <c r="P13" s="435"/>
      <c r="Q13" s="435" t="str">
        <f>'Outcome Priotization'!F15</f>
        <v>Slightly important</v>
      </c>
      <c r="R13" s="435"/>
      <c r="S13" s="435"/>
      <c r="T13" s="435"/>
      <c r="U13" s="435" t="str">
        <f>'Outcome Priotization'!F19</f>
        <v>Critically Important / Essential</v>
      </c>
      <c r="V13" s="441"/>
      <c r="W13" s="439"/>
      <c r="X13" s="435" t="str">
        <f>'Outcome Priotization'!F22</f>
        <v>Slightly unimportant</v>
      </c>
      <c r="Y13" s="435" t="str">
        <f>'Outcome Priotization'!F23</f>
        <v>Very Important</v>
      </c>
      <c r="Z13" s="435" t="str">
        <f>'Outcome Priotization'!F24</f>
        <v>Critically Important / Essential</v>
      </c>
      <c r="AA13" s="441" t="str">
        <f>'Outcome Priotization'!F25</f>
        <v>Critically Important / Essential</v>
      </c>
      <c r="AB13" s="439"/>
      <c r="AC13" s="435"/>
      <c r="AD13" s="435"/>
      <c r="AE13" s="435"/>
      <c r="AF13" s="441"/>
      <c r="AG13" s="439"/>
      <c r="AH13" s="435" t="str">
        <f>'Outcome Priotization'!F32</f>
        <v>Very Important</v>
      </c>
      <c r="AI13" s="435" t="str">
        <f>'Outcome Priotization'!F33</f>
        <v>Critically Important / Essential</v>
      </c>
      <c r="AJ13" s="435" t="str">
        <f>'Outcome Priotization'!F34</f>
        <v>Critically Important / Essential</v>
      </c>
      <c r="AK13" s="441"/>
      <c r="AL13" s="439"/>
      <c r="AM13" s="435"/>
      <c r="AN13" s="435"/>
      <c r="AO13" s="441" t="str">
        <f>'Outcome Priotization'!F39</f>
        <v>Slightly unimportant</v>
      </c>
      <c r="AP13" s="439" t="str">
        <f>'Outcome Priotization'!F40</f>
        <v>Critically Important / Essential</v>
      </c>
      <c r="AQ13" s="435"/>
      <c r="AR13" s="437"/>
    </row>
    <row r="14" spans="1:46" s="121" customFormat="1" ht="48" customHeight="1" x14ac:dyDescent="0.25">
      <c r="A14" s="137"/>
      <c r="B14" s="458"/>
      <c r="C14" s="459"/>
      <c r="D14" s="460"/>
      <c r="E14" s="150" t="s">
        <v>159</v>
      </c>
      <c r="F14" s="249"/>
      <c r="G14" s="180" t="s">
        <v>152</v>
      </c>
      <c r="H14" s="181" t="s">
        <v>152</v>
      </c>
      <c r="I14" s="181" t="s">
        <v>152</v>
      </c>
      <c r="J14" s="182" t="s">
        <v>152</v>
      </c>
      <c r="K14" s="458"/>
      <c r="L14" s="458"/>
      <c r="M14" s="457"/>
      <c r="N14" s="445"/>
      <c r="O14" s="435"/>
      <c r="P14" s="435"/>
      <c r="Q14" s="435"/>
      <c r="R14" s="435"/>
      <c r="S14" s="435"/>
      <c r="T14" s="435"/>
      <c r="U14" s="435"/>
      <c r="V14" s="441"/>
      <c r="W14" s="439"/>
      <c r="X14" s="435"/>
      <c r="Y14" s="435"/>
      <c r="Z14" s="435"/>
      <c r="AA14" s="441"/>
      <c r="AB14" s="439"/>
      <c r="AC14" s="435"/>
      <c r="AD14" s="435"/>
      <c r="AE14" s="435"/>
      <c r="AF14" s="441"/>
      <c r="AG14" s="439"/>
      <c r="AH14" s="435"/>
      <c r="AI14" s="435"/>
      <c r="AJ14" s="435"/>
      <c r="AK14" s="441"/>
      <c r="AL14" s="439"/>
      <c r="AM14" s="435"/>
      <c r="AN14" s="435"/>
      <c r="AO14" s="441"/>
      <c r="AP14" s="439"/>
      <c r="AQ14" s="435"/>
      <c r="AR14" s="437"/>
    </row>
    <row r="15" spans="1:46" s="121" customFormat="1" ht="48" customHeight="1" x14ac:dyDescent="0.25">
      <c r="A15" s="137"/>
      <c r="B15" s="458"/>
      <c r="C15" s="459"/>
      <c r="D15" s="460"/>
      <c r="E15" s="150" t="s">
        <v>160</v>
      </c>
      <c r="F15" s="249"/>
      <c r="G15" s="180" t="s">
        <v>152</v>
      </c>
      <c r="H15" s="181" t="s">
        <v>152</v>
      </c>
      <c r="I15" s="181" t="s">
        <v>152</v>
      </c>
      <c r="J15" s="182" t="s">
        <v>152</v>
      </c>
      <c r="K15" s="458"/>
      <c r="L15" s="458"/>
      <c r="M15" s="457"/>
      <c r="N15" s="445"/>
      <c r="O15" s="435"/>
      <c r="P15" s="435"/>
      <c r="Q15" s="435"/>
      <c r="R15" s="435"/>
      <c r="S15" s="435"/>
      <c r="T15" s="435"/>
      <c r="U15" s="435"/>
      <c r="V15" s="441"/>
      <c r="W15" s="439"/>
      <c r="X15" s="435"/>
      <c r="Y15" s="435"/>
      <c r="Z15" s="435"/>
      <c r="AA15" s="441"/>
      <c r="AB15" s="439"/>
      <c r="AC15" s="435"/>
      <c r="AD15" s="435"/>
      <c r="AE15" s="435"/>
      <c r="AF15" s="441"/>
      <c r="AG15" s="439"/>
      <c r="AH15" s="435"/>
      <c r="AI15" s="435"/>
      <c r="AJ15" s="435"/>
      <c r="AK15" s="441"/>
      <c r="AL15" s="439"/>
      <c r="AM15" s="435"/>
      <c r="AN15" s="435"/>
      <c r="AO15" s="441"/>
      <c r="AP15" s="439"/>
      <c r="AQ15" s="435"/>
      <c r="AR15" s="437"/>
    </row>
    <row r="16" spans="1:46" s="121" customFormat="1" ht="48" customHeight="1" x14ac:dyDescent="0.25">
      <c r="A16" s="137"/>
      <c r="B16" s="448"/>
      <c r="C16" s="450"/>
      <c r="D16" s="452"/>
      <c r="E16" s="150" t="s">
        <v>161</v>
      </c>
      <c r="F16" s="249"/>
      <c r="G16" s="180" t="s">
        <v>152</v>
      </c>
      <c r="H16" s="181" t="s">
        <v>152</v>
      </c>
      <c r="I16" s="181" t="s">
        <v>152</v>
      </c>
      <c r="J16" s="182" t="s">
        <v>152</v>
      </c>
      <c r="K16" s="448"/>
      <c r="L16" s="448"/>
      <c r="M16" s="444"/>
      <c r="N16" s="446"/>
      <c r="O16" s="436"/>
      <c r="P16" s="436"/>
      <c r="Q16" s="436"/>
      <c r="R16" s="436"/>
      <c r="S16" s="436"/>
      <c r="T16" s="436"/>
      <c r="U16" s="436"/>
      <c r="V16" s="442"/>
      <c r="W16" s="440"/>
      <c r="X16" s="436"/>
      <c r="Y16" s="436"/>
      <c r="Z16" s="436"/>
      <c r="AA16" s="442"/>
      <c r="AB16" s="440"/>
      <c r="AC16" s="436"/>
      <c r="AD16" s="436"/>
      <c r="AE16" s="436"/>
      <c r="AF16" s="442"/>
      <c r="AG16" s="440"/>
      <c r="AH16" s="436"/>
      <c r="AI16" s="436"/>
      <c r="AJ16" s="436"/>
      <c r="AK16" s="442"/>
      <c r="AL16" s="440"/>
      <c r="AM16" s="436"/>
      <c r="AN16" s="436"/>
      <c r="AO16" s="442"/>
      <c r="AP16" s="440"/>
      <c r="AQ16" s="436"/>
      <c r="AR16" s="438"/>
    </row>
    <row r="17" spans="1:44" ht="13.5" customHeight="1" x14ac:dyDescent="0.25">
      <c r="A17" s="161"/>
      <c r="B17" s="132"/>
      <c r="C17" s="144" t="s">
        <v>162</v>
      </c>
      <c r="D17" s="240"/>
      <c r="E17" s="146"/>
      <c r="F17" s="246"/>
      <c r="G17" s="187"/>
      <c r="H17" s="188"/>
      <c r="I17" s="188"/>
      <c r="J17" s="63"/>
      <c r="K17" s="132"/>
      <c r="L17" s="132"/>
      <c r="M17" s="145"/>
      <c r="N17" s="109"/>
      <c r="O17" s="110"/>
      <c r="P17" s="110"/>
      <c r="Q17" s="110"/>
      <c r="R17" s="110"/>
      <c r="S17" s="110"/>
      <c r="T17" s="110"/>
      <c r="U17" s="110"/>
      <c r="V17" s="111"/>
      <c r="W17" s="109"/>
      <c r="X17" s="110"/>
      <c r="Y17" s="110"/>
      <c r="Z17" s="110"/>
      <c r="AA17" s="111"/>
      <c r="AB17" s="109"/>
      <c r="AC17" s="110"/>
      <c r="AD17" s="110"/>
      <c r="AE17" s="110"/>
      <c r="AF17" s="111"/>
      <c r="AG17" s="109"/>
      <c r="AH17" s="110"/>
      <c r="AI17" s="110"/>
      <c r="AJ17" s="110"/>
      <c r="AK17" s="111"/>
      <c r="AL17" s="109"/>
      <c r="AM17" s="110"/>
      <c r="AN17" s="110"/>
      <c r="AO17" s="111"/>
      <c r="AP17" s="109"/>
      <c r="AQ17" s="110"/>
      <c r="AR17" s="112"/>
    </row>
    <row r="18" spans="1:44" ht="14.25" customHeight="1" x14ac:dyDescent="0.25">
      <c r="A18" s="161"/>
      <c r="B18" s="162">
        <v>3</v>
      </c>
      <c r="C18" s="147" t="s">
        <v>163</v>
      </c>
      <c r="D18" s="241"/>
      <c r="E18" s="148"/>
      <c r="F18" s="247"/>
      <c r="G18" s="175"/>
      <c r="H18" s="176"/>
      <c r="I18" s="176"/>
      <c r="J18" s="206"/>
      <c r="K18" s="135"/>
      <c r="L18" s="135"/>
      <c r="M18" s="170"/>
      <c r="N18" s="199"/>
      <c r="O18" s="197"/>
      <c r="P18" s="197"/>
      <c r="Q18" s="197"/>
      <c r="R18" s="197"/>
      <c r="S18" s="197"/>
      <c r="T18" s="197"/>
      <c r="U18" s="197"/>
      <c r="V18" s="200"/>
      <c r="W18" s="199"/>
      <c r="X18" s="197"/>
      <c r="Y18" s="197"/>
      <c r="Z18" s="197"/>
      <c r="AA18" s="200"/>
      <c r="AB18" s="199"/>
      <c r="AC18" s="197"/>
      <c r="AD18" s="197"/>
      <c r="AE18" s="197"/>
      <c r="AF18" s="200"/>
      <c r="AG18" s="199"/>
      <c r="AH18" s="197"/>
      <c r="AI18" s="197"/>
      <c r="AJ18" s="197"/>
      <c r="AK18" s="200"/>
      <c r="AL18" s="199"/>
      <c r="AM18" s="197"/>
      <c r="AN18" s="197"/>
      <c r="AO18" s="200"/>
      <c r="AP18" s="199"/>
      <c r="AQ18" s="197"/>
      <c r="AR18" s="198"/>
    </row>
    <row r="19" spans="1:44" s="121" customFormat="1" ht="36.75" customHeight="1" x14ac:dyDescent="0.25">
      <c r="A19" s="137"/>
      <c r="B19" s="447">
        <v>3.1</v>
      </c>
      <c r="C19" s="449" t="s">
        <v>164</v>
      </c>
      <c r="D19" s="451"/>
      <c r="E19" s="154" t="s">
        <v>165</v>
      </c>
      <c r="F19" s="251"/>
      <c r="G19" s="177" t="s">
        <v>152</v>
      </c>
      <c r="H19" s="178" t="s">
        <v>152</v>
      </c>
      <c r="I19" s="178" t="s">
        <v>152</v>
      </c>
      <c r="J19" s="186" t="s">
        <v>152</v>
      </c>
      <c r="K19" s="447" cm="1">
        <f t="array" ref="K19">SUMPRODUCT(IFERROR(VLOOKUP(N19:AR19,'Response Options'!$D$5:$E$10,2,FALSE),0))/COUNTA(N19:AR19)</f>
        <v>3.6923076923076925</v>
      </c>
      <c r="L19" s="447">
        <f t="shared" si="0"/>
        <v>4</v>
      </c>
      <c r="M19" s="443" t="str">
        <f>_xlfn.XLOOKUP(L19,'Response Options'!$E$5:$E$10,'Response Options'!$D$5:$D$10)</f>
        <v>Extremely Important</v>
      </c>
      <c r="N19" s="445" t="str">
        <f>'Outcome Priotization'!$F$12</f>
        <v>Critically Important / Essential</v>
      </c>
      <c r="O19" s="435" t="str">
        <f>'Outcome Priotization'!F13</f>
        <v>Moderately Important</v>
      </c>
      <c r="P19" s="435" t="str">
        <f>'Outcome Priotization'!F14</f>
        <v>Critically Important / Essential</v>
      </c>
      <c r="Q19" s="435"/>
      <c r="R19" s="435" t="str">
        <f>'Outcome Priotization'!F16</f>
        <v>Critically Important / Essential</v>
      </c>
      <c r="S19" s="435" t="str">
        <f>'Outcome Priotization'!F17</f>
        <v>Very Important</v>
      </c>
      <c r="T19" s="435"/>
      <c r="U19" s="435" t="str">
        <f>'Outcome Priotization'!F19</f>
        <v>Critically Important / Essential</v>
      </c>
      <c r="V19" s="441"/>
      <c r="W19" s="439"/>
      <c r="X19" s="435" t="str">
        <f>'Outcome Priotization'!F22</f>
        <v>Slightly unimportant</v>
      </c>
      <c r="Y19" s="435" t="str">
        <f>'Outcome Priotization'!F23</f>
        <v>Very Important</v>
      </c>
      <c r="Z19" s="435"/>
      <c r="AA19" s="441" t="str">
        <f>'Outcome Priotization'!F25</f>
        <v>Critically Important / Essential</v>
      </c>
      <c r="AB19" s="439"/>
      <c r="AC19" s="435" t="str">
        <f>'Outcome Priotization'!F27</f>
        <v>Moderately Important</v>
      </c>
      <c r="AD19" s="435"/>
      <c r="AE19" s="435"/>
      <c r="AF19" s="441"/>
      <c r="AG19" s="439"/>
      <c r="AH19" s="435"/>
      <c r="AI19" s="435" t="str">
        <f>'Outcome Priotization'!F33</f>
        <v>Critically Important / Essential</v>
      </c>
      <c r="AJ19" s="435"/>
      <c r="AK19" s="441"/>
      <c r="AL19" s="439"/>
      <c r="AM19" s="435"/>
      <c r="AN19" s="435" t="str">
        <f>'Outcome Priotization'!F38</f>
        <v>Very Important</v>
      </c>
      <c r="AO19" s="441"/>
      <c r="AP19" s="439"/>
      <c r="AQ19" s="435" t="str">
        <f>'Outcome Priotization'!F41</f>
        <v>Critically Important / Essential</v>
      </c>
      <c r="AR19" s="437"/>
    </row>
    <row r="20" spans="1:44" s="121" customFormat="1" ht="36.75" customHeight="1" x14ac:dyDescent="0.25">
      <c r="A20" s="137"/>
      <c r="B20" s="458"/>
      <c r="C20" s="459"/>
      <c r="D20" s="460"/>
      <c r="E20" s="150" t="s">
        <v>166</v>
      </c>
      <c r="F20" s="249"/>
      <c r="G20" s="180" t="s">
        <v>152</v>
      </c>
      <c r="H20" s="181" t="s">
        <v>152</v>
      </c>
      <c r="I20" s="181" t="s">
        <v>152</v>
      </c>
      <c r="J20" s="182" t="s">
        <v>152</v>
      </c>
      <c r="K20" s="458"/>
      <c r="L20" s="458"/>
      <c r="M20" s="457"/>
      <c r="N20" s="445"/>
      <c r="O20" s="435"/>
      <c r="P20" s="435"/>
      <c r="Q20" s="435"/>
      <c r="R20" s="435"/>
      <c r="S20" s="435"/>
      <c r="T20" s="435"/>
      <c r="U20" s="435"/>
      <c r="V20" s="441"/>
      <c r="W20" s="439"/>
      <c r="X20" s="435"/>
      <c r="Y20" s="435"/>
      <c r="Z20" s="435"/>
      <c r="AA20" s="441"/>
      <c r="AB20" s="439"/>
      <c r="AC20" s="435"/>
      <c r="AD20" s="435"/>
      <c r="AE20" s="435"/>
      <c r="AF20" s="441"/>
      <c r="AG20" s="439"/>
      <c r="AH20" s="435"/>
      <c r="AI20" s="435"/>
      <c r="AJ20" s="435"/>
      <c r="AK20" s="441"/>
      <c r="AL20" s="439"/>
      <c r="AM20" s="435"/>
      <c r="AN20" s="435"/>
      <c r="AO20" s="441"/>
      <c r="AP20" s="439"/>
      <c r="AQ20" s="435"/>
      <c r="AR20" s="437"/>
    </row>
    <row r="21" spans="1:44" s="121" customFormat="1" ht="36.75" customHeight="1" x14ac:dyDescent="0.25">
      <c r="A21" s="137"/>
      <c r="B21" s="458"/>
      <c r="C21" s="459"/>
      <c r="D21" s="460"/>
      <c r="E21" s="150" t="s">
        <v>167</v>
      </c>
      <c r="F21" s="249"/>
      <c r="G21" s="180" t="s">
        <v>152</v>
      </c>
      <c r="H21" s="181" t="s">
        <v>152</v>
      </c>
      <c r="I21" s="181" t="s">
        <v>152</v>
      </c>
      <c r="J21" s="182" t="s">
        <v>152</v>
      </c>
      <c r="K21" s="448"/>
      <c r="L21" s="448"/>
      <c r="M21" s="444"/>
      <c r="N21" s="446"/>
      <c r="O21" s="436"/>
      <c r="P21" s="436"/>
      <c r="Q21" s="436"/>
      <c r="R21" s="436"/>
      <c r="S21" s="436"/>
      <c r="T21" s="436"/>
      <c r="U21" s="436"/>
      <c r="V21" s="442"/>
      <c r="W21" s="440"/>
      <c r="X21" s="436"/>
      <c r="Y21" s="436"/>
      <c r="Z21" s="436"/>
      <c r="AA21" s="442"/>
      <c r="AB21" s="440"/>
      <c r="AC21" s="436"/>
      <c r="AD21" s="436"/>
      <c r="AE21" s="436"/>
      <c r="AF21" s="442"/>
      <c r="AG21" s="440"/>
      <c r="AH21" s="436"/>
      <c r="AI21" s="436"/>
      <c r="AJ21" s="436"/>
      <c r="AK21" s="442"/>
      <c r="AL21" s="440"/>
      <c r="AM21" s="436"/>
      <c r="AN21" s="436"/>
      <c r="AO21" s="442"/>
      <c r="AP21" s="440"/>
      <c r="AQ21" s="436"/>
      <c r="AR21" s="438"/>
    </row>
    <row r="22" spans="1:44" ht="12.75" customHeight="1" x14ac:dyDescent="0.25">
      <c r="A22" s="161"/>
      <c r="B22" s="164">
        <v>4</v>
      </c>
      <c r="C22" s="155" t="s">
        <v>168</v>
      </c>
      <c r="D22" s="244"/>
      <c r="E22" s="156"/>
      <c r="F22" s="252"/>
      <c r="G22" s="189"/>
      <c r="H22" s="190"/>
      <c r="I22" s="190"/>
      <c r="J22" s="59"/>
      <c r="K22" s="136"/>
      <c r="L22" s="136"/>
      <c r="M22" s="171"/>
      <c r="N22" s="122"/>
      <c r="O22" s="123"/>
      <c r="P22" s="123"/>
      <c r="Q22" s="123"/>
      <c r="R22" s="123"/>
      <c r="S22" s="123"/>
      <c r="T22" s="123"/>
      <c r="U22" s="123"/>
      <c r="V22" s="124"/>
      <c r="W22" s="122"/>
      <c r="X22" s="123"/>
      <c r="Y22" s="123"/>
      <c r="Z22" s="123"/>
      <c r="AA22" s="124"/>
      <c r="AB22" s="122"/>
      <c r="AC22" s="123"/>
      <c r="AD22" s="123"/>
      <c r="AE22" s="123"/>
      <c r="AF22" s="124"/>
      <c r="AG22" s="122"/>
      <c r="AH22" s="123"/>
      <c r="AI22" s="123"/>
      <c r="AJ22" s="123"/>
      <c r="AK22" s="124"/>
      <c r="AL22" s="122"/>
      <c r="AM22" s="123"/>
      <c r="AN22" s="123"/>
      <c r="AO22" s="124"/>
      <c r="AP22" s="122"/>
      <c r="AQ22" s="123"/>
      <c r="AR22" s="125"/>
    </row>
    <row r="23" spans="1:44" s="121" customFormat="1" ht="42.75" customHeight="1" x14ac:dyDescent="0.25">
      <c r="A23" s="137"/>
      <c r="B23" s="447">
        <v>4.0999999999999996</v>
      </c>
      <c r="C23" s="449" t="s">
        <v>169</v>
      </c>
      <c r="D23" s="451"/>
      <c r="E23" s="154" t="s">
        <v>170</v>
      </c>
      <c r="F23" s="251"/>
      <c r="G23" s="177" t="s">
        <v>152</v>
      </c>
      <c r="H23" s="178" t="s">
        <v>152</v>
      </c>
      <c r="I23" s="178" t="s">
        <v>152</v>
      </c>
      <c r="J23" s="186" t="s">
        <v>152</v>
      </c>
      <c r="K23" s="447" cm="1">
        <f t="array" ref="K23">SUMPRODUCT(IFERROR(VLOOKUP(N23:AR23,'Response Options'!$D$5:$E$10,2,FALSE),0))/COUNTA(N23:AR23)</f>
        <v>3.5789473684210527</v>
      </c>
      <c r="L23" s="447">
        <f t="shared" si="0"/>
        <v>4</v>
      </c>
      <c r="M23" s="443" t="str">
        <f>_xlfn.XLOOKUP(L23,'Response Options'!$E$5:$E$10,'Response Options'!$D$5:$D$10)</f>
        <v>Extremely Important</v>
      </c>
      <c r="N23" s="445" t="str">
        <f>'Outcome Priotization'!$F$12</f>
        <v>Critically Important / Essential</v>
      </c>
      <c r="O23" s="435" t="str">
        <f>'Outcome Priotization'!F13</f>
        <v>Moderately Important</v>
      </c>
      <c r="P23" s="435" t="str">
        <f>'Outcome Priotization'!F14</f>
        <v>Critically Important / Essential</v>
      </c>
      <c r="Q23" s="435" t="str">
        <f>'Outcome Priotization'!F15</f>
        <v>Slightly important</v>
      </c>
      <c r="R23" s="435" t="str">
        <f>'Outcome Priotization'!F16</f>
        <v>Critically Important / Essential</v>
      </c>
      <c r="S23" s="435" t="str">
        <f>'Outcome Priotization'!F17</f>
        <v>Very Important</v>
      </c>
      <c r="T23" s="435"/>
      <c r="U23" s="435" t="str">
        <f>'Outcome Priotization'!F19</f>
        <v>Critically Important / Essential</v>
      </c>
      <c r="V23" s="441" t="str">
        <f>'Outcome Priotization'!F20</f>
        <v>Critically Important / Essential</v>
      </c>
      <c r="W23" s="439" t="str">
        <f>'Outcome Priotization'!F21</f>
        <v>Extremely Important</v>
      </c>
      <c r="X23" s="435"/>
      <c r="Y23" s="435" t="str">
        <f>'Outcome Priotization'!F23</f>
        <v>Very Important</v>
      </c>
      <c r="Z23" s="435"/>
      <c r="AA23" s="441" t="str">
        <f>'Outcome Priotization'!F25</f>
        <v>Critically Important / Essential</v>
      </c>
      <c r="AB23" s="439"/>
      <c r="AC23" s="435" t="str">
        <f>'Outcome Priotization'!F27</f>
        <v>Moderately Important</v>
      </c>
      <c r="AD23" s="435"/>
      <c r="AE23" s="435"/>
      <c r="AF23" s="441"/>
      <c r="AG23" s="439"/>
      <c r="AH23" s="435" t="str">
        <f>'Outcome Priotization'!F32</f>
        <v>Very Important</v>
      </c>
      <c r="AI23" s="435" t="str">
        <f>'Outcome Priotization'!F33</f>
        <v>Critically Important / Essential</v>
      </c>
      <c r="AJ23" s="435"/>
      <c r="AK23" s="441"/>
      <c r="AL23" s="439"/>
      <c r="AM23" s="435"/>
      <c r="AN23" s="435" t="str">
        <f>'Outcome Priotization'!F38</f>
        <v>Very Important</v>
      </c>
      <c r="AO23" s="441" t="str">
        <f>'Outcome Priotization'!F39</f>
        <v>Slightly unimportant</v>
      </c>
      <c r="AP23" s="439" t="str">
        <f>'Outcome Priotization'!F40</f>
        <v>Critically Important / Essential</v>
      </c>
      <c r="AQ23" s="435" t="str">
        <f>'Outcome Priotization'!F41</f>
        <v>Critically Important / Essential</v>
      </c>
      <c r="AR23" s="437" t="str">
        <f>'Outcome Priotization'!F42</f>
        <v>Moderately Important</v>
      </c>
    </row>
    <row r="24" spans="1:44" s="121" customFormat="1" ht="77.25" customHeight="1" x14ac:dyDescent="0.25">
      <c r="A24" s="137"/>
      <c r="B24" s="458"/>
      <c r="C24" s="459"/>
      <c r="D24" s="460"/>
      <c r="E24" s="150" t="s">
        <v>171</v>
      </c>
      <c r="F24" s="249"/>
      <c r="G24" s="180" t="s">
        <v>152</v>
      </c>
      <c r="H24" s="181" t="s">
        <v>152</v>
      </c>
      <c r="I24" s="181" t="s">
        <v>152</v>
      </c>
      <c r="J24" s="182" t="s">
        <v>152</v>
      </c>
      <c r="K24" s="458"/>
      <c r="L24" s="458"/>
      <c r="M24" s="457"/>
      <c r="N24" s="445"/>
      <c r="O24" s="435"/>
      <c r="P24" s="435"/>
      <c r="Q24" s="435"/>
      <c r="R24" s="435"/>
      <c r="S24" s="435"/>
      <c r="T24" s="435"/>
      <c r="U24" s="435"/>
      <c r="V24" s="441"/>
      <c r="W24" s="439"/>
      <c r="X24" s="435"/>
      <c r="Y24" s="435"/>
      <c r="Z24" s="435"/>
      <c r="AA24" s="441"/>
      <c r="AB24" s="439"/>
      <c r="AC24" s="435"/>
      <c r="AD24" s="435"/>
      <c r="AE24" s="435"/>
      <c r="AF24" s="441"/>
      <c r="AG24" s="439"/>
      <c r="AH24" s="435"/>
      <c r="AI24" s="435"/>
      <c r="AJ24" s="435"/>
      <c r="AK24" s="441"/>
      <c r="AL24" s="439"/>
      <c r="AM24" s="435"/>
      <c r="AN24" s="435"/>
      <c r="AO24" s="441"/>
      <c r="AP24" s="439"/>
      <c r="AQ24" s="435"/>
      <c r="AR24" s="437"/>
    </row>
    <row r="25" spans="1:44" s="121" customFormat="1" ht="42.75" customHeight="1" x14ac:dyDescent="0.25">
      <c r="A25" s="137"/>
      <c r="B25" s="458"/>
      <c r="C25" s="459"/>
      <c r="D25" s="460"/>
      <c r="E25" s="150" t="s">
        <v>172</v>
      </c>
      <c r="F25" s="249"/>
      <c r="G25" s="180" t="s">
        <v>152</v>
      </c>
      <c r="H25" s="181" t="s">
        <v>152</v>
      </c>
      <c r="I25" s="181" t="s">
        <v>152</v>
      </c>
      <c r="J25" s="182" t="s">
        <v>152</v>
      </c>
      <c r="K25" s="458"/>
      <c r="L25" s="458"/>
      <c r="M25" s="457"/>
      <c r="N25" s="445"/>
      <c r="O25" s="435"/>
      <c r="P25" s="435"/>
      <c r="Q25" s="435"/>
      <c r="R25" s="435"/>
      <c r="S25" s="435"/>
      <c r="T25" s="435"/>
      <c r="U25" s="435"/>
      <c r="V25" s="441"/>
      <c r="W25" s="439"/>
      <c r="X25" s="435"/>
      <c r="Y25" s="435"/>
      <c r="Z25" s="435"/>
      <c r="AA25" s="441"/>
      <c r="AB25" s="439"/>
      <c r="AC25" s="435"/>
      <c r="AD25" s="435"/>
      <c r="AE25" s="435"/>
      <c r="AF25" s="441"/>
      <c r="AG25" s="439"/>
      <c r="AH25" s="435"/>
      <c r="AI25" s="435"/>
      <c r="AJ25" s="435"/>
      <c r="AK25" s="441"/>
      <c r="AL25" s="439"/>
      <c r="AM25" s="435"/>
      <c r="AN25" s="435"/>
      <c r="AO25" s="441"/>
      <c r="AP25" s="439"/>
      <c r="AQ25" s="435"/>
      <c r="AR25" s="437"/>
    </row>
    <row r="26" spans="1:44" s="121" customFormat="1" ht="42.75" customHeight="1" x14ac:dyDescent="0.25">
      <c r="A26" s="137"/>
      <c r="B26" s="458"/>
      <c r="C26" s="459"/>
      <c r="D26" s="460"/>
      <c r="E26" s="150" t="s">
        <v>173</v>
      </c>
      <c r="F26" s="249"/>
      <c r="G26" s="180" t="s">
        <v>152</v>
      </c>
      <c r="H26" s="181" t="s">
        <v>152</v>
      </c>
      <c r="I26" s="181" t="s">
        <v>152</v>
      </c>
      <c r="J26" s="182" t="s">
        <v>152</v>
      </c>
      <c r="K26" s="458"/>
      <c r="L26" s="458"/>
      <c r="M26" s="457"/>
      <c r="N26" s="445"/>
      <c r="O26" s="435"/>
      <c r="P26" s="435"/>
      <c r="Q26" s="435"/>
      <c r="R26" s="435"/>
      <c r="S26" s="435"/>
      <c r="T26" s="435"/>
      <c r="U26" s="435"/>
      <c r="V26" s="441"/>
      <c r="W26" s="439"/>
      <c r="X26" s="435"/>
      <c r="Y26" s="435"/>
      <c r="Z26" s="435"/>
      <c r="AA26" s="441"/>
      <c r="AB26" s="439"/>
      <c r="AC26" s="435"/>
      <c r="AD26" s="435"/>
      <c r="AE26" s="435"/>
      <c r="AF26" s="441"/>
      <c r="AG26" s="439"/>
      <c r="AH26" s="435"/>
      <c r="AI26" s="435"/>
      <c r="AJ26" s="435"/>
      <c r="AK26" s="441"/>
      <c r="AL26" s="439"/>
      <c r="AM26" s="435"/>
      <c r="AN26" s="435"/>
      <c r="AO26" s="441"/>
      <c r="AP26" s="439"/>
      <c r="AQ26" s="435"/>
      <c r="AR26" s="437"/>
    </row>
    <row r="27" spans="1:44" s="121" customFormat="1" ht="42.75" customHeight="1" x14ac:dyDescent="0.25">
      <c r="A27" s="137"/>
      <c r="B27" s="453"/>
      <c r="C27" s="454"/>
      <c r="D27" s="455"/>
      <c r="E27" s="150" t="s">
        <v>174</v>
      </c>
      <c r="F27" s="249"/>
      <c r="G27" s="180" t="s">
        <v>152</v>
      </c>
      <c r="H27" s="181" t="s">
        <v>152</v>
      </c>
      <c r="I27" s="181" t="s">
        <v>152</v>
      </c>
      <c r="J27" s="182" t="s">
        <v>152</v>
      </c>
      <c r="K27" s="453"/>
      <c r="L27" s="453"/>
      <c r="M27" s="456"/>
      <c r="N27" s="445"/>
      <c r="O27" s="435"/>
      <c r="P27" s="435"/>
      <c r="Q27" s="435"/>
      <c r="R27" s="435"/>
      <c r="S27" s="435"/>
      <c r="T27" s="435"/>
      <c r="U27" s="435"/>
      <c r="V27" s="441"/>
      <c r="W27" s="439"/>
      <c r="X27" s="435"/>
      <c r="Y27" s="435"/>
      <c r="Z27" s="435"/>
      <c r="AA27" s="441"/>
      <c r="AB27" s="439"/>
      <c r="AC27" s="435"/>
      <c r="AD27" s="435"/>
      <c r="AE27" s="435"/>
      <c r="AF27" s="441"/>
      <c r="AG27" s="439"/>
      <c r="AH27" s="435"/>
      <c r="AI27" s="435"/>
      <c r="AJ27" s="435"/>
      <c r="AK27" s="441"/>
      <c r="AL27" s="439"/>
      <c r="AM27" s="435"/>
      <c r="AN27" s="435"/>
      <c r="AO27" s="441"/>
      <c r="AP27" s="439"/>
      <c r="AQ27" s="435"/>
      <c r="AR27" s="437"/>
    </row>
    <row r="28" spans="1:44" s="121" customFormat="1" ht="42.75" customHeight="1" x14ac:dyDescent="0.25">
      <c r="A28" s="137"/>
      <c r="B28" s="447">
        <v>4.2</v>
      </c>
      <c r="C28" s="449" t="s">
        <v>175</v>
      </c>
      <c r="D28" s="451"/>
      <c r="E28" s="154" t="s">
        <v>176</v>
      </c>
      <c r="F28" s="251"/>
      <c r="G28" s="177" t="s">
        <v>152</v>
      </c>
      <c r="H28" s="178" t="s">
        <v>152</v>
      </c>
      <c r="I28" s="178" t="s">
        <v>152</v>
      </c>
      <c r="J28" s="186" t="s">
        <v>152</v>
      </c>
      <c r="K28" s="447" cm="1">
        <f t="array" ref="K28">SUMPRODUCT(IFERROR(VLOOKUP(N28:AR28,'Response Options'!$D$5:$E$10,2,FALSE),0))/COUNTA(N28:AR28)</f>
        <v>3.6153846153846154</v>
      </c>
      <c r="L28" s="447">
        <f t="shared" si="0"/>
        <v>4</v>
      </c>
      <c r="M28" s="443" t="str">
        <f>_xlfn.XLOOKUP(L28,'Response Options'!$E$5:$E$10,'Response Options'!$D$5:$D$10)</f>
        <v>Extremely Important</v>
      </c>
      <c r="N28" s="445" t="str">
        <f>'Outcome Priotization'!$F$12</f>
        <v>Critically Important / Essential</v>
      </c>
      <c r="O28" s="435"/>
      <c r="P28" s="435"/>
      <c r="Q28" s="435" t="str">
        <f>'Outcome Priotization'!F15</f>
        <v>Slightly important</v>
      </c>
      <c r="R28" s="435"/>
      <c r="S28" s="435" t="str">
        <f>'Outcome Priotization'!F17</f>
        <v>Very Important</v>
      </c>
      <c r="T28" s="435"/>
      <c r="U28" s="435" t="str">
        <f>'Outcome Priotization'!F19</f>
        <v>Critically Important / Essential</v>
      </c>
      <c r="V28" s="441"/>
      <c r="W28" s="439" t="str">
        <f>'Outcome Priotization'!F21</f>
        <v>Extremely Important</v>
      </c>
      <c r="X28" s="435" t="str">
        <f>'Outcome Priotization'!F22</f>
        <v>Slightly unimportant</v>
      </c>
      <c r="Y28" s="435" t="str">
        <f>'Outcome Priotization'!F23</f>
        <v>Very Important</v>
      </c>
      <c r="Z28" s="435" t="str">
        <f>'Outcome Priotization'!F24</f>
        <v>Critically Important / Essential</v>
      </c>
      <c r="AA28" s="441" t="str">
        <f>'Outcome Priotization'!F25</f>
        <v>Critically Important / Essential</v>
      </c>
      <c r="AB28" s="439"/>
      <c r="AC28" s="435"/>
      <c r="AD28" s="435"/>
      <c r="AE28" s="435"/>
      <c r="AF28" s="441"/>
      <c r="AG28" s="439"/>
      <c r="AH28" s="435"/>
      <c r="AI28" s="435" t="str">
        <f>'Outcome Priotization'!F33</f>
        <v>Critically Important / Essential</v>
      </c>
      <c r="AJ28" s="435"/>
      <c r="AK28" s="441" t="str">
        <f>'Outcome Priotization'!F35</f>
        <v>Slightly important</v>
      </c>
      <c r="AL28" s="439"/>
      <c r="AM28" s="435"/>
      <c r="AN28" s="435"/>
      <c r="AO28" s="441"/>
      <c r="AP28" s="439" t="str">
        <f>'Outcome Priotization'!F40</f>
        <v>Critically Important / Essential</v>
      </c>
      <c r="AQ28" s="435" t="str">
        <f>'Outcome Priotization'!F41</f>
        <v>Critically Important / Essential</v>
      </c>
      <c r="AR28" s="437"/>
    </row>
    <row r="29" spans="1:44" s="121" customFormat="1" ht="42.75" customHeight="1" x14ac:dyDescent="0.25">
      <c r="A29" s="137"/>
      <c r="B29" s="453"/>
      <c r="C29" s="454"/>
      <c r="D29" s="455"/>
      <c r="E29" s="150" t="s">
        <v>177</v>
      </c>
      <c r="F29" s="249"/>
      <c r="G29" s="180" t="s">
        <v>152</v>
      </c>
      <c r="H29" s="181" t="s">
        <v>152</v>
      </c>
      <c r="I29" s="181" t="s">
        <v>152</v>
      </c>
      <c r="J29" s="182" t="s">
        <v>152</v>
      </c>
      <c r="K29" s="453"/>
      <c r="L29" s="453"/>
      <c r="M29" s="456"/>
      <c r="N29" s="445"/>
      <c r="O29" s="435"/>
      <c r="P29" s="435"/>
      <c r="Q29" s="435"/>
      <c r="R29" s="435"/>
      <c r="S29" s="435"/>
      <c r="T29" s="435"/>
      <c r="U29" s="435"/>
      <c r="V29" s="441"/>
      <c r="W29" s="439"/>
      <c r="X29" s="435"/>
      <c r="Y29" s="435"/>
      <c r="Z29" s="435"/>
      <c r="AA29" s="441"/>
      <c r="AB29" s="439"/>
      <c r="AC29" s="435"/>
      <c r="AD29" s="435"/>
      <c r="AE29" s="435"/>
      <c r="AF29" s="441"/>
      <c r="AG29" s="439"/>
      <c r="AH29" s="435"/>
      <c r="AI29" s="435"/>
      <c r="AJ29" s="435"/>
      <c r="AK29" s="441"/>
      <c r="AL29" s="439"/>
      <c r="AM29" s="435"/>
      <c r="AN29" s="435"/>
      <c r="AO29" s="441"/>
      <c r="AP29" s="439"/>
      <c r="AQ29" s="435"/>
      <c r="AR29" s="437"/>
    </row>
    <row r="30" spans="1:44" s="121" customFormat="1" ht="42.75" customHeight="1" x14ac:dyDescent="0.25">
      <c r="A30" s="137"/>
      <c r="B30" s="447">
        <v>4.3</v>
      </c>
      <c r="C30" s="449" t="s">
        <v>178</v>
      </c>
      <c r="D30" s="451"/>
      <c r="E30" s="154" t="s">
        <v>179</v>
      </c>
      <c r="F30" s="251"/>
      <c r="G30" s="177" t="s">
        <v>152</v>
      </c>
      <c r="H30" s="178" t="s">
        <v>152</v>
      </c>
      <c r="I30" s="178" t="s">
        <v>152</v>
      </c>
      <c r="J30" s="186" t="s">
        <v>152</v>
      </c>
      <c r="K30" s="447" cm="1">
        <f t="array" ref="K30">SUMPRODUCT(IFERROR(VLOOKUP(N30:AR30,'Response Options'!$D$5:$E$10,2,FALSE),0))/COUNTA(N30:AR30)</f>
        <v>3.7142857142857144</v>
      </c>
      <c r="L30" s="447">
        <f t="shared" si="0"/>
        <v>4</v>
      </c>
      <c r="M30" s="443" t="str">
        <f>_xlfn.XLOOKUP(L30,'Response Options'!$E$5:$E$10,'Response Options'!$D$5:$D$10)</f>
        <v>Extremely Important</v>
      </c>
      <c r="N30" s="445" t="str">
        <f>'Outcome Priotization'!$F$12</f>
        <v>Critically Important / Essential</v>
      </c>
      <c r="O30" s="435" t="str">
        <f>'Outcome Priotization'!F13</f>
        <v>Moderately Important</v>
      </c>
      <c r="P30" s="435" t="str">
        <f>'Outcome Priotization'!F14</f>
        <v>Critically Important / Essential</v>
      </c>
      <c r="Q30" s="435" t="str">
        <f>'Outcome Priotization'!F15</f>
        <v>Slightly important</v>
      </c>
      <c r="R30" s="435" t="str">
        <f>'Outcome Priotization'!F16</f>
        <v>Critically Important / Essential</v>
      </c>
      <c r="S30" s="435" t="str">
        <f>'Outcome Priotization'!F17</f>
        <v>Very Important</v>
      </c>
      <c r="T30" s="435"/>
      <c r="U30" s="435" t="str">
        <f>'Outcome Priotization'!F19</f>
        <v>Critically Important / Essential</v>
      </c>
      <c r="V30" s="441" t="str">
        <f>'Outcome Priotization'!F20</f>
        <v>Critically Important / Essential</v>
      </c>
      <c r="W30" s="439" t="str">
        <f>'Outcome Priotization'!F21</f>
        <v>Extremely Important</v>
      </c>
      <c r="X30" s="435" t="str">
        <f>'Outcome Priotization'!F22</f>
        <v>Slightly unimportant</v>
      </c>
      <c r="Y30" s="435"/>
      <c r="Z30" s="435" t="str">
        <f>'Outcome Priotization'!F24</f>
        <v>Critically Important / Essential</v>
      </c>
      <c r="AA30" s="441" t="str">
        <f>'Outcome Priotization'!F25</f>
        <v>Critically Important / Essential</v>
      </c>
      <c r="AB30" s="439"/>
      <c r="AC30" s="435"/>
      <c r="AD30" s="435"/>
      <c r="AE30" s="435"/>
      <c r="AF30" s="441"/>
      <c r="AG30" s="439" t="str">
        <f>'Outcome Priotization'!F31</f>
        <v>Critically Important / Essential</v>
      </c>
      <c r="AH30" s="435" t="str">
        <f>'Outcome Priotization'!F32</f>
        <v>Very Important</v>
      </c>
      <c r="AI30" s="435" t="str">
        <f>'Outcome Priotization'!F33</f>
        <v>Critically Important / Essential</v>
      </c>
      <c r="AJ30" s="435" t="str">
        <f>'Outcome Priotization'!F34</f>
        <v>Critically Important / Essential</v>
      </c>
      <c r="AK30" s="441"/>
      <c r="AL30" s="439"/>
      <c r="AM30" s="435"/>
      <c r="AN30" s="435" t="str">
        <f>'Outcome Priotization'!F38</f>
        <v>Very Important</v>
      </c>
      <c r="AO30" s="441" t="str">
        <f>'Outcome Priotization'!F39</f>
        <v>Slightly unimportant</v>
      </c>
      <c r="AP30" s="439" t="str">
        <f>'Outcome Priotization'!F40</f>
        <v>Critically Important / Essential</v>
      </c>
      <c r="AQ30" s="435" t="str">
        <f>'Outcome Priotization'!F41</f>
        <v>Critically Important / Essential</v>
      </c>
      <c r="AR30" s="437" t="str">
        <f>'Outcome Priotization'!F42</f>
        <v>Moderately Important</v>
      </c>
    </row>
    <row r="31" spans="1:44" s="121" customFormat="1" ht="42.75" customHeight="1" x14ac:dyDescent="0.25">
      <c r="A31" s="137"/>
      <c r="B31" s="458"/>
      <c r="C31" s="459"/>
      <c r="D31" s="460"/>
      <c r="E31" s="150" t="s">
        <v>180</v>
      </c>
      <c r="F31" s="249"/>
      <c r="G31" s="180"/>
      <c r="H31" s="181" t="s">
        <v>152</v>
      </c>
      <c r="I31" s="181" t="s">
        <v>152</v>
      </c>
      <c r="J31" s="182" t="s">
        <v>152</v>
      </c>
      <c r="K31" s="458"/>
      <c r="L31" s="458"/>
      <c r="M31" s="457"/>
      <c r="N31" s="445"/>
      <c r="O31" s="435"/>
      <c r="P31" s="435"/>
      <c r="Q31" s="435"/>
      <c r="R31" s="435"/>
      <c r="S31" s="435"/>
      <c r="T31" s="435"/>
      <c r="U31" s="435"/>
      <c r="V31" s="441"/>
      <c r="W31" s="439"/>
      <c r="X31" s="435"/>
      <c r="Y31" s="435"/>
      <c r="Z31" s="435"/>
      <c r="AA31" s="441"/>
      <c r="AB31" s="439"/>
      <c r="AC31" s="435"/>
      <c r="AD31" s="435"/>
      <c r="AE31" s="435"/>
      <c r="AF31" s="441"/>
      <c r="AG31" s="439"/>
      <c r="AH31" s="435"/>
      <c r="AI31" s="435"/>
      <c r="AJ31" s="435"/>
      <c r="AK31" s="441"/>
      <c r="AL31" s="439"/>
      <c r="AM31" s="435"/>
      <c r="AN31" s="435"/>
      <c r="AO31" s="441"/>
      <c r="AP31" s="439"/>
      <c r="AQ31" s="435"/>
      <c r="AR31" s="437"/>
    </row>
    <row r="32" spans="1:44" s="121" customFormat="1" ht="42.75" customHeight="1" x14ac:dyDescent="0.25">
      <c r="A32" s="137"/>
      <c r="B32" s="458"/>
      <c r="C32" s="459"/>
      <c r="D32" s="460"/>
      <c r="E32" s="150" t="s">
        <v>181</v>
      </c>
      <c r="F32" s="249"/>
      <c r="G32" s="180" t="s">
        <v>152</v>
      </c>
      <c r="H32" s="181" t="s">
        <v>152</v>
      </c>
      <c r="I32" s="181" t="s">
        <v>152</v>
      </c>
      <c r="J32" s="182" t="s">
        <v>152</v>
      </c>
      <c r="K32" s="458"/>
      <c r="L32" s="458"/>
      <c r="M32" s="457"/>
      <c r="N32" s="445"/>
      <c r="O32" s="435"/>
      <c r="P32" s="435"/>
      <c r="Q32" s="435"/>
      <c r="R32" s="435"/>
      <c r="S32" s="435"/>
      <c r="T32" s="435"/>
      <c r="U32" s="435"/>
      <c r="V32" s="441"/>
      <c r="W32" s="439"/>
      <c r="X32" s="435"/>
      <c r="Y32" s="435"/>
      <c r="Z32" s="435"/>
      <c r="AA32" s="441"/>
      <c r="AB32" s="439"/>
      <c r="AC32" s="435"/>
      <c r="AD32" s="435"/>
      <c r="AE32" s="435"/>
      <c r="AF32" s="441"/>
      <c r="AG32" s="439"/>
      <c r="AH32" s="435"/>
      <c r="AI32" s="435"/>
      <c r="AJ32" s="435"/>
      <c r="AK32" s="441"/>
      <c r="AL32" s="439"/>
      <c r="AM32" s="435"/>
      <c r="AN32" s="435"/>
      <c r="AO32" s="441"/>
      <c r="AP32" s="439"/>
      <c r="AQ32" s="435"/>
      <c r="AR32" s="437"/>
    </row>
    <row r="33" spans="1:44" s="121" customFormat="1" ht="42.75" customHeight="1" x14ac:dyDescent="0.25">
      <c r="A33" s="137"/>
      <c r="B33" s="458"/>
      <c r="C33" s="459"/>
      <c r="D33" s="460"/>
      <c r="E33" s="150" t="s">
        <v>182</v>
      </c>
      <c r="F33" s="249"/>
      <c r="G33" s="180" t="s">
        <v>152</v>
      </c>
      <c r="H33" s="181" t="s">
        <v>152</v>
      </c>
      <c r="I33" s="181" t="s">
        <v>152</v>
      </c>
      <c r="J33" s="182" t="s">
        <v>152</v>
      </c>
      <c r="K33" s="458"/>
      <c r="L33" s="458"/>
      <c r="M33" s="457"/>
      <c r="N33" s="445"/>
      <c r="O33" s="435"/>
      <c r="P33" s="435"/>
      <c r="Q33" s="435"/>
      <c r="R33" s="435"/>
      <c r="S33" s="435"/>
      <c r="T33" s="435"/>
      <c r="U33" s="435"/>
      <c r="V33" s="441"/>
      <c r="W33" s="439"/>
      <c r="X33" s="435"/>
      <c r="Y33" s="435"/>
      <c r="Z33" s="435"/>
      <c r="AA33" s="441"/>
      <c r="AB33" s="439"/>
      <c r="AC33" s="435"/>
      <c r="AD33" s="435"/>
      <c r="AE33" s="435"/>
      <c r="AF33" s="441"/>
      <c r="AG33" s="439"/>
      <c r="AH33" s="435"/>
      <c r="AI33" s="435"/>
      <c r="AJ33" s="435"/>
      <c r="AK33" s="441"/>
      <c r="AL33" s="439"/>
      <c r="AM33" s="435"/>
      <c r="AN33" s="435"/>
      <c r="AO33" s="441"/>
      <c r="AP33" s="439"/>
      <c r="AQ33" s="435"/>
      <c r="AR33" s="437"/>
    </row>
    <row r="34" spans="1:44" s="121" customFormat="1" ht="42.75" customHeight="1" x14ac:dyDescent="0.25">
      <c r="A34" s="137"/>
      <c r="B34" s="453"/>
      <c r="C34" s="454"/>
      <c r="D34" s="455"/>
      <c r="E34" s="150" t="s">
        <v>183</v>
      </c>
      <c r="F34" s="249"/>
      <c r="G34" s="180" t="s">
        <v>152</v>
      </c>
      <c r="H34" s="181" t="s">
        <v>152</v>
      </c>
      <c r="I34" s="181" t="s">
        <v>152</v>
      </c>
      <c r="J34" s="182" t="s">
        <v>152</v>
      </c>
      <c r="K34" s="453"/>
      <c r="L34" s="453"/>
      <c r="M34" s="456"/>
      <c r="N34" s="445"/>
      <c r="O34" s="435"/>
      <c r="P34" s="435"/>
      <c r="Q34" s="435"/>
      <c r="R34" s="435"/>
      <c r="S34" s="435"/>
      <c r="T34" s="435"/>
      <c r="U34" s="435"/>
      <c r="V34" s="441"/>
      <c r="W34" s="439"/>
      <c r="X34" s="435"/>
      <c r="Y34" s="435"/>
      <c r="Z34" s="435"/>
      <c r="AA34" s="441"/>
      <c r="AB34" s="439"/>
      <c r="AC34" s="435"/>
      <c r="AD34" s="435"/>
      <c r="AE34" s="435"/>
      <c r="AF34" s="441"/>
      <c r="AG34" s="439"/>
      <c r="AH34" s="435"/>
      <c r="AI34" s="435"/>
      <c r="AJ34" s="435"/>
      <c r="AK34" s="441"/>
      <c r="AL34" s="439"/>
      <c r="AM34" s="435"/>
      <c r="AN34" s="435"/>
      <c r="AO34" s="441"/>
      <c r="AP34" s="439"/>
      <c r="AQ34" s="435"/>
      <c r="AR34" s="437"/>
    </row>
    <row r="35" spans="1:44" ht="42.75" customHeight="1" x14ac:dyDescent="0.25">
      <c r="A35" s="161"/>
      <c r="B35" s="202">
        <v>4.4000000000000004</v>
      </c>
      <c r="C35" s="203" t="s">
        <v>184</v>
      </c>
      <c r="D35" s="242"/>
      <c r="E35" s="154" t="s">
        <v>185</v>
      </c>
      <c r="F35" s="251"/>
      <c r="G35" s="177" t="s">
        <v>152</v>
      </c>
      <c r="H35" s="178" t="s">
        <v>152</v>
      </c>
      <c r="I35" s="178" t="s">
        <v>152</v>
      </c>
      <c r="J35" s="186" t="s">
        <v>152</v>
      </c>
      <c r="K35" s="134" cm="1">
        <f t="array" ref="K35">SUMPRODUCT(IFERROR(VLOOKUP(N35:AR35,'Response Options'!$D$5:$E$10,2,FALSE),0))/COUNTA(N35:AR35)</f>
        <v>3.6666666666666665</v>
      </c>
      <c r="L35" s="134">
        <f t="shared" si="0"/>
        <v>4</v>
      </c>
      <c r="M35" s="149" t="str">
        <f>_xlfn.XLOOKUP(L35,'Response Options'!$E$5:$E$10,'Response Options'!$D$5:$D$10)</f>
        <v>Extremely Important</v>
      </c>
      <c r="N35" s="199"/>
      <c r="O35" s="197" t="str">
        <f>'Outcome Priotization'!F13</f>
        <v>Moderately Important</v>
      </c>
      <c r="P35" s="197" t="str">
        <f>'Outcome Priotization'!F14</f>
        <v>Critically Important / Essential</v>
      </c>
      <c r="Q35" s="197" t="str">
        <f>'Outcome Priotization'!F15</f>
        <v>Slightly important</v>
      </c>
      <c r="R35" s="197" t="str">
        <f>'Outcome Priotization'!F16</f>
        <v>Critically Important / Essential</v>
      </c>
      <c r="S35" s="197" t="str">
        <f>'Outcome Priotization'!F17</f>
        <v>Very Important</v>
      </c>
      <c r="T35" s="197"/>
      <c r="U35" s="197"/>
      <c r="V35" s="200" t="str">
        <f>'Outcome Priotization'!F20</f>
        <v>Critically Important / Essential</v>
      </c>
      <c r="W35" s="199" t="str">
        <f>'Outcome Priotization'!F21</f>
        <v>Extremely Important</v>
      </c>
      <c r="X35" s="197"/>
      <c r="Y35" s="197" t="str">
        <f>'Outcome Priotization'!F23</f>
        <v>Very Important</v>
      </c>
      <c r="Z35" s="197"/>
      <c r="AA35" s="200" t="str">
        <f>'Outcome Priotization'!F25</f>
        <v>Critically Important / Essential</v>
      </c>
      <c r="AB35" s="199"/>
      <c r="AC35" s="197"/>
      <c r="AD35" s="197"/>
      <c r="AE35" s="197"/>
      <c r="AF35" s="200"/>
      <c r="AG35" s="199"/>
      <c r="AH35" s="197"/>
      <c r="AI35" s="197"/>
      <c r="AJ35" s="197"/>
      <c r="AK35" s="200"/>
      <c r="AL35" s="199"/>
      <c r="AM35" s="197"/>
      <c r="AN35" s="197"/>
      <c r="AO35" s="200"/>
      <c r="AP35" s="199"/>
      <c r="AQ35" s="197"/>
      <c r="AR35" s="198"/>
    </row>
    <row r="36" spans="1:44" ht="42.75" customHeight="1" x14ac:dyDescent="0.25">
      <c r="A36" s="161"/>
      <c r="B36" s="202">
        <v>4.5</v>
      </c>
      <c r="C36" s="203" t="s">
        <v>186</v>
      </c>
      <c r="D36" s="242"/>
      <c r="E36" s="154" t="s">
        <v>187</v>
      </c>
      <c r="F36" s="251"/>
      <c r="G36" s="177" t="s">
        <v>152</v>
      </c>
      <c r="H36" s="178" t="s">
        <v>152</v>
      </c>
      <c r="I36" s="178" t="s">
        <v>152</v>
      </c>
      <c r="J36" s="186" t="s">
        <v>152</v>
      </c>
      <c r="K36" s="134" cm="1">
        <f t="array" ref="K36">SUMPRODUCT(IFERROR(VLOOKUP(N36:AR36,'Response Options'!$D$5:$E$10,2,FALSE),0))/COUNTA(N36:AR36)</f>
        <v>3.7894736842105261</v>
      </c>
      <c r="L36" s="134">
        <f t="shared" si="0"/>
        <v>4</v>
      </c>
      <c r="M36" s="149" t="str">
        <f>_xlfn.XLOOKUP(L36,'Response Options'!$E$5:$E$10,'Response Options'!$D$5:$D$10)</f>
        <v>Extremely Important</v>
      </c>
      <c r="N36" s="199"/>
      <c r="O36" s="197" t="str">
        <f>'Outcome Priotization'!F13</f>
        <v>Moderately Important</v>
      </c>
      <c r="P36" s="197" t="str">
        <f>'Outcome Priotization'!F14</f>
        <v>Critically Important / Essential</v>
      </c>
      <c r="Q36" s="197" t="str">
        <f>'Outcome Priotization'!F15</f>
        <v>Slightly important</v>
      </c>
      <c r="R36" s="197" t="str">
        <f>'Outcome Priotization'!F16</f>
        <v>Critically Important / Essential</v>
      </c>
      <c r="S36" s="197" t="str">
        <f>'Outcome Priotization'!F17</f>
        <v>Very Important</v>
      </c>
      <c r="T36" s="197"/>
      <c r="U36" s="197" t="str">
        <f>'Outcome Priotization'!F19</f>
        <v>Critically Important / Essential</v>
      </c>
      <c r="V36" s="200" t="str">
        <f>'Outcome Priotization'!F20</f>
        <v>Critically Important / Essential</v>
      </c>
      <c r="W36" s="199" t="str">
        <f>'Outcome Priotization'!F21</f>
        <v>Extremely Important</v>
      </c>
      <c r="X36" s="197" t="str">
        <f>'Outcome Priotization'!F22</f>
        <v>Slightly unimportant</v>
      </c>
      <c r="Y36" s="197"/>
      <c r="Z36" s="197" t="str">
        <f>'Outcome Priotization'!F24</f>
        <v>Critically Important / Essential</v>
      </c>
      <c r="AA36" s="200" t="str">
        <f>'Outcome Priotization'!F25</f>
        <v>Critically Important / Essential</v>
      </c>
      <c r="AB36" s="199" t="str">
        <f>'Outcome Priotization'!F26</f>
        <v>Extremely Important</v>
      </c>
      <c r="AC36" s="197"/>
      <c r="AD36" s="197"/>
      <c r="AE36" s="197"/>
      <c r="AF36" s="200"/>
      <c r="AG36" s="199" t="str">
        <f>'Outcome Priotization'!F31</f>
        <v>Critically Important / Essential</v>
      </c>
      <c r="AH36" s="197" t="str">
        <f>'Outcome Priotization'!F32</f>
        <v>Very Important</v>
      </c>
      <c r="AI36" s="197" t="str">
        <f>'Outcome Priotization'!F33</f>
        <v>Critically Important / Essential</v>
      </c>
      <c r="AJ36" s="197" t="str">
        <f>'Outcome Priotization'!F34</f>
        <v>Critically Important / Essential</v>
      </c>
      <c r="AK36" s="200"/>
      <c r="AL36" s="199"/>
      <c r="AM36" s="197"/>
      <c r="AN36" s="197"/>
      <c r="AO36" s="200" t="str">
        <f>'Outcome Priotization'!F39</f>
        <v>Slightly unimportant</v>
      </c>
      <c r="AP36" s="199" t="str">
        <f>'Outcome Priotization'!F40</f>
        <v>Critically Important / Essential</v>
      </c>
      <c r="AQ36" s="197" t="str">
        <f>'Outcome Priotization'!F41</f>
        <v>Critically Important / Essential</v>
      </c>
      <c r="AR36" s="198"/>
    </row>
    <row r="37" spans="1:44" ht="42.75" customHeight="1" x14ac:dyDescent="0.25">
      <c r="A37" s="161"/>
      <c r="B37" s="202">
        <v>4.5999999999999996</v>
      </c>
      <c r="C37" s="203" t="s">
        <v>188</v>
      </c>
      <c r="D37" s="242"/>
      <c r="E37" s="154" t="s">
        <v>189</v>
      </c>
      <c r="F37" s="251"/>
      <c r="G37" s="177" t="s">
        <v>152</v>
      </c>
      <c r="H37" s="178" t="s">
        <v>152</v>
      </c>
      <c r="I37" s="178" t="s">
        <v>152</v>
      </c>
      <c r="J37" s="186" t="s">
        <v>152</v>
      </c>
      <c r="K37" s="134" cm="1">
        <f t="array" ref="K37">SUMPRODUCT(IFERROR(VLOOKUP(N37:AR37,'Response Options'!$D$5:$E$10,2,FALSE),0))/COUNTA(N37:AR37)</f>
        <v>3.6666666666666665</v>
      </c>
      <c r="L37" s="134">
        <f t="shared" si="0"/>
        <v>4</v>
      </c>
      <c r="M37" s="149" t="str">
        <f>_xlfn.XLOOKUP(L37,'Response Options'!$E$5:$E$10,'Response Options'!$D$5:$D$10)</f>
        <v>Extremely Important</v>
      </c>
      <c r="N37" s="199"/>
      <c r="O37" s="197"/>
      <c r="P37" s="197"/>
      <c r="Q37" s="197" t="str">
        <f>'Outcome Priotization'!F15</f>
        <v>Slightly important</v>
      </c>
      <c r="R37" s="197"/>
      <c r="S37" s="197" t="str">
        <f>'Outcome Priotization'!F17</f>
        <v>Very Important</v>
      </c>
      <c r="T37" s="197"/>
      <c r="U37" s="197" t="str">
        <f>'Outcome Priotization'!F19</f>
        <v>Critically Important / Essential</v>
      </c>
      <c r="V37" s="200"/>
      <c r="W37" s="199" t="str">
        <f>'Outcome Priotization'!F21</f>
        <v>Extremely Important</v>
      </c>
      <c r="X37" s="197"/>
      <c r="Y37" s="197" t="str">
        <f>'Outcome Priotization'!F23</f>
        <v>Very Important</v>
      </c>
      <c r="Z37" s="197"/>
      <c r="AA37" s="200" t="str">
        <f>'Outcome Priotization'!F25</f>
        <v>Critically Important / Essential</v>
      </c>
      <c r="AB37" s="199"/>
      <c r="AC37" s="197"/>
      <c r="AD37" s="197"/>
      <c r="AE37" s="197"/>
      <c r="AF37" s="200"/>
      <c r="AG37" s="199" t="str">
        <f>'Outcome Priotization'!F31</f>
        <v>Critically Important / Essential</v>
      </c>
      <c r="AH37" s="197" t="str">
        <f>'Outcome Priotization'!F32</f>
        <v>Very Important</v>
      </c>
      <c r="AI37" s="197" t="str">
        <f>'Outcome Priotization'!F33</f>
        <v>Critically Important / Essential</v>
      </c>
      <c r="AJ37" s="197"/>
      <c r="AK37" s="200"/>
      <c r="AL37" s="199"/>
      <c r="AM37" s="197"/>
      <c r="AN37" s="197"/>
      <c r="AO37" s="200" t="str">
        <f>'Outcome Priotization'!F39</f>
        <v>Slightly unimportant</v>
      </c>
      <c r="AP37" s="199" t="str">
        <f>'Outcome Priotization'!F40</f>
        <v>Critically Important / Essential</v>
      </c>
      <c r="AQ37" s="197" t="str">
        <f>'Outcome Priotization'!F41</f>
        <v>Critically Important / Essential</v>
      </c>
      <c r="AR37" s="198"/>
    </row>
    <row r="38" spans="1:44" ht="42.75" customHeight="1" x14ac:dyDescent="0.25">
      <c r="A38" s="161"/>
      <c r="B38" s="202">
        <v>4.7</v>
      </c>
      <c r="C38" s="203" t="s">
        <v>190</v>
      </c>
      <c r="D38" s="242"/>
      <c r="E38" s="154" t="s">
        <v>191</v>
      </c>
      <c r="F38" s="251"/>
      <c r="G38" s="177" t="s">
        <v>152</v>
      </c>
      <c r="H38" s="178" t="s">
        <v>152</v>
      </c>
      <c r="I38" s="178" t="s">
        <v>152</v>
      </c>
      <c r="J38" s="186" t="s">
        <v>152</v>
      </c>
      <c r="K38" s="202" cm="1">
        <f t="array" ref="K38">SUMPRODUCT(IFERROR(VLOOKUP(N38:AR38,'Response Options'!$D$5:$E$10,2,FALSE),0))/COUNTA(N38:AR38)</f>
        <v>3.6666666666666665</v>
      </c>
      <c r="L38" s="202">
        <f t="shared" si="0"/>
        <v>4</v>
      </c>
      <c r="M38" s="149" t="str">
        <f>_xlfn.XLOOKUP(L38,'Response Options'!$E$5:$E$10,'Response Options'!$D$5:$D$10)</f>
        <v>Extremely Important</v>
      </c>
      <c r="N38" s="199"/>
      <c r="O38" s="197"/>
      <c r="P38" s="197"/>
      <c r="Q38" s="197" t="str">
        <f>'Outcome Priotization'!F15</f>
        <v>Slightly important</v>
      </c>
      <c r="R38" s="197"/>
      <c r="S38" s="197" t="str">
        <f>'Outcome Priotization'!F17</f>
        <v>Very Important</v>
      </c>
      <c r="T38" s="197"/>
      <c r="U38" s="197" t="str">
        <f>'Outcome Priotization'!F19</f>
        <v>Critically Important / Essential</v>
      </c>
      <c r="V38" s="200"/>
      <c r="W38" s="199" t="str">
        <f>'Outcome Priotization'!F21</f>
        <v>Extremely Important</v>
      </c>
      <c r="X38" s="197"/>
      <c r="Y38" s="197" t="str">
        <f>'Outcome Priotization'!F23</f>
        <v>Very Important</v>
      </c>
      <c r="Z38" s="197"/>
      <c r="AA38" s="200" t="str">
        <f>'Outcome Priotization'!F25</f>
        <v>Critically Important / Essential</v>
      </c>
      <c r="AB38" s="199"/>
      <c r="AC38" s="197"/>
      <c r="AD38" s="197"/>
      <c r="AE38" s="197"/>
      <c r="AF38" s="200"/>
      <c r="AG38" s="199" t="str">
        <f>'Outcome Priotization'!F31</f>
        <v>Critically Important / Essential</v>
      </c>
      <c r="AH38" s="197" t="str">
        <f>'Outcome Priotization'!F32</f>
        <v>Very Important</v>
      </c>
      <c r="AI38" s="197" t="str">
        <f>'Outcome Priotization'!F33</f>
        <v>Critically Important / Essential</v>
      </c>
      <c r="AJ38" s="197"/>
      <c r="AK38" s="200"/>
      <c r="AL38" s="199"/>
      <c r="AM38" s="197"/>
      <c r="AN38" s="197"/>
      <c r="AO38" s="200" t="str">
        <f>'Outcome Priotization'!F39</f>
        <v>Slightly unimportant</v>
      </c>
      <c r="AP38" s="199" t="str">
        <f>'Outcome Priotization'!F40</f>
        <v>Critically Important / Essential</v>
      </c>
      <c r="AQ38" s="197" t="str">
        <f>'Outcome Priotization'!F41</f>
        <v>Critically Important / Essential</v>
      </c>
      <c r="AR38" s="198"/>
    </row>
    <row r="39" spans="1:44" ht="13.5" customHeight="1" x14ac:dyDescent="0.25">
      <c r="A39" s="161"/>
      <c r="B39" s="132"/>
      <c r="C39" s="144" t="s">
        <v>192</v>
      </c>
      <c r="D39" s="240"/>
      <c r="E39" s="146"/>
      <c r="F39" s="246"/>
      <c r="G39" s="187"/>
      <c r="H39" s="188"/>
      <c r="I39" s="188"/>
      <c r="J39" s="63"/>
      <c r="K39" s="132"/>
      <c r="L39" s="132"/>
      <c r="M39" s="145"/>
      <c r="N39" s="109"/>
      <c r="O39" s="110"/>
      <c r="P39" s="110"/>
      <c r="Q39" s="110"/>
      <c r="R39" s="110"/>
      <c r="S39" s="110"/>
      <c r="T39" s="110"/>
      <c r="U39" s="110"/>
      <c r="V39" s="111"/>
      <c r="W39" s="109"/>
      <c r="X39" s="110"/>
      <c r="Y39" s="110"/>
      <c r="Z39" s="110"/>
      <c r="AA39" s="111"/>
      <c r="AB39" s="109"/>
      <c r="AC39" s="110"/>
      <c r="AD39" s="110"/>
      <c r="AE39" s="110"/>
      <c r="AF39" s="111"/>
      <c r="AG39" s="109"/>
      <c r="AH39" s="110"/>
      <c r="AI39" s="110"/>
      <c r="AJ39" s="110"/>
      <c r="AK39" s="111"/>
      <c r="AL39" s="109"/>
      <c r="AM39" s="110"/>
      <c r="AN39" s="110"/>
      <c r="AO39" s="111"/>
      <c r="AP39" s="109"/>
      <c r="AQ39" s="110"/>
      <c r="AR39" s="112"/>
    </row>
    <row r="40" spans="1:44" ht="13.5" customHeight="1" x14ac:dyDescent="0.25">
      <c r="A40" s="161"/>
      <c r="B40" s="162">
        <v>5</v>
      </c>
      <c r="C40" s="147" t="s">
        <v>193</v>
      </c>
      <c r="D40" s="241"/>
      <c r="E40" s="148"/>
      <c r="F40" s="247"/>
      <c r="G40" s="175"/>
      <c r="H40" s="176"/>
      <c r="I40" s="176"/>
      <c r="J40" s="206"/>
      <c r="K40" s="135"/>
      <c r="L40" s="135"/>
      <c r="M40" s="170"/>
      <c r="N40" s="199"/>
      <c r="O40" s="197"/>
      <c r="P40" s="197"/>
      <c r="Q40" s="197"/>
      <c r="R40" s="197"/>
      <c r="S40" s="197"/>
      <c r="T40" s="197"/>
      <c r="U40" s="197"/>
      <c r="V40" s="200"/>
      <c r="W40" s="199"/>
      <c r="X40" s="197"/>
      <c r="Y40" s="197"/>
      <c r="Z40" s="197"/>
      <c r="AA40" s="200"/>
      <c r="AB40" s="199"/>
      <c r="AC40" s="197"/>
      <c r="AD40" s="197"/>
      <c r="AE40" s="197"/>
      <c r="AF40" s="200"/>
      <c r="AG40" s="199"/>
      <c r="AH40" s="197"/>
      <c r="AI40" s="197"/>
      <c r="AJ40" s="197"/>
      <c r="AK40" s="200"/>
      <c r="AL40" s="199"/>
      <c r="AM40" s="197"/>
      <c r="AN40" s="197"/>
      <c r="AO40" s="200"/>
      <c r="AP40" s="199"/>
      <c r="AQ40" s="197"/>
      <c r="AR40" s="198"/>
    </row>
    <row r="41" spans="1:44" s="121" customFormat="1" ht="32.25" customHeight="1" x14ac:dyDescent="0.25">
      <c r="A41" s="137"/>
      <c r="B41" s="447">
        <v>5.0999999999999996</v>
      </c>
      <c r="C41" s="449" t="s">
        <v>194</v>
      </c>
      <c r="D41" s="451"/>
      <c r="E41" s="154" t="s">
        <v>195</v>
      </c>
      <c r="F41" s="251"/>
      <c r="G41" s="177" t="s">
        <v>152</v>
      </c>
      <c r="H41" s="178" t="s">
        <v>152</v>
      </c>
      <c r="I41" s="178"/>
      <c r="J41" s="186"/>
      <c r="K41" s="447" cm="1">
        <f t="array" ref="K41">SUMPRODUCT(IFERROR(VLOOKUP(N41:AR41,'Response Options'!$D$5:$E$10,2,FALSE),0))/COUNTA(N41:AR41)</f>
        <v>3.625</v>
      </c>
      <c r="L41" s="447">
        <f t="shared" si="0"/>
        <v>4</v>
      </c>
      <c r="M41" s="443" t="str">
        <f>_xlfn.XLOOKUP(L41,'Response Options'!$E$5:$E$10,'Response Options'!$D$5:$D$10)</f>
        <v>Extremely Important</v>
      </c>
      <c r="N41" s="445" t="str">
        <f>'Outcome Priotization'!$F$12</f>
        <v>Critically Important / Essential</v>
      </c>
      <c r="O41" s="435"/>
      <c r="P41" s="435"/>
      <c r="Q41" s="435" t="str">
        <f>'Outcome Priotization'!F15</f>
        <v>Slightly important</v>
      </c>
      <c r="R41" s="435"/>
      <c r="S41" s="435" t="str">
        <f>'Outcome Priotization'!F17</f>
        <v>Very Important</v>
      </c>
      <c r="T41" s="435"/>
      <c r="U41" s="435"/>
      <c r="V41" s="441"/>
      <c r="W41" s="439" t="str">
        <f>'Outcome Priotization'!F21</f>
        <v>Extremely Important</v>
      </c>
      <c r="X41" s="435"/>
      <c r="Y41" s="435" t="str">
        <f>'Outcome Priotization'!F23</f>
        <v>Very Important</v>
      </c>
      <c r="Z41" s="435"/>
      <c r="AA41" s="441" t="str">
        <f>'Outcome Priotization'!F25</f>
        <v>Critically Important / Essential</v>
      </c>
      <c r="AB41" s="199"/>
      <c r="AC41" s="197"/>
      <c r="AD41" s="197"/>
      <c r="AE41" s="197"/>
      <c r="AF41" s="200"/>
      <c r="AG41" s="199"/>
      <c r="AH41" s="197" t="str">
        <f>'Outcome Priotization'!F32</f>
        <v>Very Important</v>
      </c>
      <c r="AI41" s="197"/>
      <c r="AJ41" s="197"/>
      <c r="AK41" s="200"/>
      <c r="AL41" s="199"/>
      <c r="AM41" s="197"/>
      <c r="AN41" s="197"/>
      <c r="AO41" s="200"/>
      <c r="AP41" s="199"/>
      <c r="AQ41" s="197" t="str">
        <f>'Outcome Priotization'!F41</f>
        <v>Critically Important / Essential</v>
      </c>
      <c r="AR41" s="198"/>
    </row>
    <row r="42" spans="1:44" s="121" customFormat="1" ht="32.25" customHeight="1" x14ac:dyDescent="0.25">
      <c r="A42" s="137"/>
      <c r="B42" s="453"/>
      <c r="C42" s="454"/>
      <c r="D42" s="455"/>
      <c r="E42" s="150" t="s">
        <v>196</v>
      </c>
      <c r="F42" s="249"/>
      <c r="G42" s="180" t="s">
        <v>152</v>
      </c>
      <c r="H42" s="181" t="s">
        <v>152</v>
      </c>
      <c r="I42" s="181" t="s">
        <v>152</v>
      </c>
      <c r="J42" s="182" t="s">
        <v>152</v>
      </c>
      <c r="K42" s="453"/>
      <c r="L42" s="453"/>
      <c r="M42" s="456"/>
      <c r="N42" s="445"/>
      <c r="O42" s="435"/>
      <c r="P42" s="435"/>
      <c r="Q42" s="435"/>
      <c r="R42" s="435"/>
      <c r="S42" s="435"/>
      <c r="T42" s="435"/>
      <c r="U42" s="435"/>
      <c r="V42" s="441"/>
      <c r="W42" s="439"/>
      <c r="X42" s="435"/>
      <c r="Y42" s="435"/>
      <c r="Z42" s="435"/>
      <c r="AA42" s="441"/>
      <c r="AB42" s="107"/>
      <c r="AC42" s="105"/>
      <c r="AD42" s="105"/>
      <c r="AE42" s="105"/>
      <c r="AF42" s="106"/>
      <c r="AG42" s="107"/>
      <c r="AH42" s="105"/>
      <c r="AI42" s="105"/>
      <c r="AJ42" s="105"/>
      <c r="AK42" s="106"/>
      <c r="AL42" s="107"/>
      <c r="AM42" s="105"/>
      <c r="AN42" s="105"/>
      <c r="AO42" s="106"/>
      <c r="AP42" s="107"/>
      <c r="AQ42" s="105"/>
      <c r="AR42" s="108"/>
    </row>
    <row r="43" spans="1:44" s="121" customFormat="1" ht="50.25" customHeight="1" x14ac:dyDescent="0.25">
      <c r="A43" s="137"/>
      <c r="B43" s="202">
        <v>5.2</v>
      </c>
      <c r="C43" s="203" t="s">
        <v>197</v>
      </c>
      <c r="D43" s="242"/>
      <c r="E43" s="154" t="s">
        <v>198</v>
      </c>
      <c r="F43" s="251"/>
      <c r="G43" s="177" t="s">
        <v>152</v>
      </c>
      <c r="H43" s="178" t="s">
        <v>152</v>
      </c>
      <c r="I43" s="178" t="s">
        <v>152</v>
      </c>
      <c r="J43" s="186" t="s">
        <v>152</v>
      </c>
      <c r="K43" s="202" cm="1">
        <f t="array" ref="K43">SUMPRODUCT(IFERROR(VLOOKUP(N43:AR43,'Response Options'!$D$5:$E$10,2,FALSE),0))/COUNTA(N43:AR43)</f>
        <v>3.7</v>
      </c>
      <c r="L43" s="202">
        <f t="shared" si="0"/>
        <v>4</v>
      </c>
      <c r="M43" s="201" t="str">
        <f>_xlfn.XLOOKUP(L43,'Response Options'!$E$5:$E$10,'Response Options'!$D$5:$D$10)</f>
        <v>Extremely Important</v>
      </c>
      <c r="N43" s="199"/>
      <c r="O43" s="197"/>
      <c r="P43" s="197"/>
      <c r="Q43" s="197" t="str">
        <f>'Outcome Priotization'!F15</f>
        <v>Slightly important</v>
      </c>
      <c r="R43" s="197"/>
      <c r="S43" s="197"/>
      <c r="T43" s="197"/>
      <c r="U43" s="197"/>
      <c r="V43" s="200"/>
      <c r="W43" s="199" t="str">
        <f>'Outcome Priotization'!F21</f>
        <v>Extremely Important</v>
      </c>
      <c r="X43" s="197"/>
      <c r="Y43" s="197"/>
      <c r="Z43" s="197" t="str">
        <f>'Outcome Priotization'!F24</f>
        <v>Critically Important / Essential</v>
      </c>
      <c r="AA43" s="200" t="str">
        <f>'Outcome Priotization'!F25</f>
        <v>Critically Important / Essential</v>
      </c>
      <c r="AB43" s="199"/>
      <c r="AC43" s="197"/>
      <c r="AD43" s="197"/>
      <c r="AE43" s="197"/>
      <c r="AF43" s="200" t="str">
        <f>'Outcome Priotization'!F30</f>
        <v>Slightly important</v>
      </c>
      <c r="AG43" s="199" t="str">
        <f>'Outcome Priotization'!F31</f>
        <v>Critically Important / Essential</v>
      </c>
      <c r="AH43" s="197"/>
      <c r="AI43" s="197" t="str">
        <f>'Outcome Priotization'!F33</f>
        <v>Critically Important / Essential</v>
      </c>
      <c r="AJ43" s="197"/>
      <c r="AK43" s="200"/>
      <c r="AL43" s="199" t="str">
        <f>'Outcome Priotization'!F36</f>
        <v>Moderately Important</v>
      </c>
      <c r="AM43" s="197" t="str">
        <f>'Outcome Priotization'!F37</f>
        <v>Extremely Important</v>
      </c>
      <c r="AN43" s="197"/>
      <c r="AO43" s="200"/>
      <c r="AP43" s="199"/>
      <c r="AQ43" s="197" t="str">
        <f>'Outcome Priotization'!F41</f>
        <v>Critically Important / Essential</v>
      </c>
      <c r="AR43" s="198"/>
    </row>
    <row r="44" spans="1:44" ht="15.75" customHeight="1" x14ac:dyDescent="0.25">
      <c r="A44" s="161"/>
      <c r="B44" s="164">
        <v>6</v>
      </c>
      <c r="C44" s="155" t="s">
        <v>199</v>
      </c>
      <c r="D44" s="244"/>
      <c r="E44" s="156"/>
      <c r="F44" s="252"/>
      <c r="G44" s="189"/>
      <c r="H44" s="190"/>
      <c r="I44" s="190"/>
      <c r="J44" s="59"/>
      <c r="K44" s="136"/>
      <c r="L44" s="136"/>
      <c r="M44" s="171"/>
      <c r="N44" s="122"/>
      <c r="O44" s="123"/>
      <c r="P44" s="123"/>
      <c r="Q44" s="123"/>
      <c r="R44" s="123"/>
      <c r="S44" s="123"/>
      <c r="T44" s="123"/>
      <c r="U44" s="123"/>
      <c r="V44" s="124"/>
      <c r="W44" s="122"/>
      <c r="X44" s="123"/>
      <c r="Y44" s="123"/>
      <c r="Z44" s="123"/>
      <c r="AA44" s="124"/>
      <c r="AB44" s="122"/>
      <c r="AC44" s="123"/>
      <c r="AD44" s="123"/>
      <c r="AE44" s="123"/>
      <c r="AF44" s="124"/>
      <c r="AG44" s="122"/>
      <c r="AH44" s="123"/>
      <c r="AI44" s="123"/>
      <c r="AJ44" s="123"/>
      <c r="AK44" s="124"/>
      <c r="AL44" s="122"/>
      <c r="AM44" s="123"/>
      <c r="AN44" s="123"/>
      <c r="AO44" s="124"/>
      <c r="AP44" s="122"/>
      <c r="AQ44" s="123"/>
      <c r="AR44" s="125"/>
    </row>
    <row r="45" spans="1:44" ht="46.5" customHeight="1" x14ac:dyDescent="0.25">
      <c r="A45" s="161"/>
      <c r="B45" s="202">
        <v>6.1</v>
      </c>
      <c r="C45" s="203" t="s">
        <v>200</v>
      </c>
      <c r="D45" s="242"/>
      <c r="E45" s="154" t="s">
        <v>201</v>
      </c>
      <c r="F45" s="251"/>
      <c r="G45" s="177" t="s">
        <v>152</v>
      </c>
      <c r="H45" s="178" t="s">
        <v>152</v>
      </c>
      <c r="I45" s="178" t="s">
        <v>152</v>
      </c>
      <c r="J45" s="186" t="s">
        <v>152</v>
      </c>
      <c r="K45" s="202" cm="1">
        <f t="array" ref="K45">SUMPRODUCT(IFERROR(VLOOKUP(N45:AR45,'Response Options'!$D$5:$E$10,2,FALSE),0))/COUNTA(N45:AR45)</f>
        <v>4</v>
      </c>
      <c r="L45" s="202">
        <f t="shared" si="0"/>
        <v>4</v>
      </c>
      <c r="M45" s="201" t="str">
        <f>_xlfn.XLOOKUP(L45,'Response Options'!$E$5:$E$10,'Response Options'!$D$5:$D$10)</f>
        <v>Extremely Important</v>
      </c>
      <c r="N45" s="199"/>
      <c r="O45" s="197"/>
      <c r="P45" s="197"/>
      <c r="Q45" s="197" t="str">
        <f>'Outcome Priotization'!F15</f>
        <v>Slightly important</v>
      </c>
      <c r="R45" s="197"/>
      <c r="S45" s="197"/>
      <c r="T45" s="197"/>
      <c r="U45" s="197"/>
      <c r="V45" s="200"/>
      <c r="W45" s="199" t="str">
        <f>'Outcome Priotization'!F21</f>
        <v>Extremely Important</v>
      </c>
      <c r="X45" s="197"/>
      <c r="Y45" s="197"/>
      <c r="Z45" s="197" t="str">
        <f>'Outcome Priotization'!F24</f>
        <v>Critically Important / Essential</v>
      </c>
      <c r="AA45" s="200"/>
      <c r="AB45" s="199"/>
      <c r="AC45" s="197"/>
      <c r="AD45" s="197"/>
      <c r="AE45" s="197"/>
      <c r="AF45" s="200"/>
      <c r="AG45" s="199" t="str">
        <f>'Outcome Priotization'!F31</f>
        <v>Critically Important / Essential</v>
      </c>
      <c r="AH45" s="197" t="str">
        <f>'Outcome Priotization'!F32</f>
        <v>Very Important</v>
      </c>
      <c r="AI45" s="197" t="str">
        <f>'Outcome Priotization'!F33</f>
        <v>Critically Important / Essential</v>
      </c>
      <c r="AJ45" s="197"/>
      <c r="AK45" s="200"/>
      <c r="AL45" s="199"/>
      <c r="AM45" s="197" t="str">
        <f>'Outcome Priotization'!F37</f>
        <v>Extremely Important</v>
      </c>
      <c r="AN45" s="197"/>
      <c r="AO45" s="200"/>
      <c r="AP45" s="199"/>
      <c r="AQ45" s="197" t="str">
        <f>'Outcome Priotization'!F41</f>
        <v>Critically Important / Essential</v>
      </c>
      <c r="AR45" s="198"/>
    </row>
    <row r="46" spans="1:44" ht="11.25" customHeight="1" x14ac:dyDescent="0.25">
      <c r="A46" s="161"/>
      <c r="B46" s="164">
        <v>7</v>
      </c>
      <c r="C46" s="155" t="s">
        <v>202</v>
      </c>
      <c r="D46" s="244"/>
      <c r="E46" s="156"/>
      <c r="F46" s="252"/>
      <c r="G46" s="189"/>
      <c r="H46" s="190"/>
      <c r="I46" s="190"/>
      <c r="J46" s="59"/>
      <c r="K46" s="136"/>
      <c r="L46" s="136"/>
      <c r="M46" s="171"/>
      <c r="N46" s="122"/>
      <c r="O46" s="123"/>
      <c r="P46" s="123"/>
      <c r="Q46" s="123"/>
      <c r="R46" s="123"/>
      <c r="S46" s="123"/>
      <c r="T46" s="123"/>
      <c r="U46" s="123"/>
      <c r="V46" s="124"/>
      <c r="W46" s="122"/>
      <c r="X46" s="123"/>
      <c r="Y46" s="123"/>
      <c r="Z46" s="123"/>
      <c r="AA46" s="124"/>
      <c r="AB46" s="122"/>
      <c r="AC46" s="123"/>
      <c r="AD46" s="123"/>
      <c r="AE46" s="123"/>
      <c r="AF46" s="124"/>
      <c r="AG46" s="122"/>
      <c r="AH46" s="123"/>
      <c r="AI46" s="123"/>
      <c r="AJ46" s="123"/>
      <c r="AK46" s="124"/>
      <c r="AL46" s="122"/>
      <c r="AM46" s="123"/>
      <c r="AN46" s="123"/>
      <c r="AO46" s="124"/>
      <c r="AP46" s="122"/>
      <c r="AQ46" s="123"/>
      <c r="AR46" s="125"/>
    </row>
    <row r="47" spans="1:44" ht="32.25" customHeight="1" x14ac:dyDescent="0.25">
      <c r="A47" s="161"/>
      <c r="B47" s="447">
        <v>7.1</v>
      </c>
      <c r="C47" s="449" t="s">
        <v>203</v>
      </c>
      <c r="D47" s="451"/>
      <c r="E47" s="154" t="s">
        <v>204</v>
      </c>
      <c r="F47" s="251"/>
      <c r="G47" s="177" t="s">
        <v>152</v>
      </c>
      <c r="H47" s="178" t="s">
        <v>152</v>
      </c>
      <c r="I47" s="178" t="s">
        <v>152</v>
      </c>
      <c r="J47" s="186" t="s">
        <v>152</v>
      </c>
      <c r="K47" s="447" cm="1">
        <f t="array" ref="K47">SUMPRODUCT(IFERROR(VLOOKUP(N47:AR47,'Response Options'!$D$5:$E$10,2,FALSE),0))/COUNTA(N47:AR47)</f>
        <v>3.7894736842105261</v>
      </c>
      <c r="L47" s="447">
        <f t="shared" si="0"/>
        <v>4</v>
      </c>
      <c r="M47" s="443" t="str">
        <f>_xlfn.XLOOKUP(L47,'Response Options'!$E$5:$E$10,'Response Options'!$D$5:$D$10)</f>
        <v>Extremely Important</v>
      </c>
      <c r="N47" s="445" t="str">
        <f>'Outcome Priotization'!$F$12</f>
        <v>Critically Important / Essential</v>
      </c>
      <c r="O47" s="435" t="str">
        <f>'Outcome Priotization'!F13</f>
        <v>Moderately Important</v>
      </c>
      <c r="P47" s="435" t="str">
        <f>'Outcome Priotization'!F14</f>
        <v>Critically Important / Essential</v>
      </c>
      <c r="Q47" s="435" t="str">
        <f>'Outcome Priotization'!F15</f>
        <v>Slightly important</v>
      </c>
      <c r="R47" s="435" t="str">
        <f>'Outcome Priotization'!F16</f>
        <v>Critically Important / Essential</v>
      </c>
      <c r="S47" s="435" t="str">
        <f>'Outcome Priotization'!F17</f>
        <v>Very Important</v>
      </c>
      <c r="T47" s="435" t="str">
        <f>'Outcome Priotization'!F18</f>
        <v>Critically Important / Essential</v>
      </c>
      <c r="U47" s="435" t="str">
        <f>'Outcome Priotization'!F19</f>
        <v>Critically Important / Essential</v>
      </c>
      <c r="V47" s="441" t="str">
        <f>'Outcome Priotization'!F20</f>
        <v>Critically Important / Essential</v>
      </c>
      <c r="W47" s="439" t="str">
        <f>'Outcome Priotization'!F21</f>
        <v>Extremely Important</v>
      </c>
      <c r="X47" s="435"/>
      <c r="Y47" s="435" t="str">
        <f>'Outcome Priotization'!F23</f>
        <v>Very Important</v>
      </c>
      <c r="Z47" s="435"/>
      <c r="AA47" s="441" t="str">
        <f>'Outcome Priotization'!F25</f>
        <v>Critically Important / Essential</v>
      </c>
      <c r="AB47" s="439"/>
      <c r="AC47" s="435" t="str">
        <f>'Outcome Priotization'!F27</f>
        <v>Moderately Important</v>
      </c>
      <c r="AD47" s="435"/>
      <c r="AE47" s="435"/>
      <c r="AF47" s="441"/>
      <c r="AG47" s="439" t="str">
        <f>'Outcome Priotization'!F31</f>
        <v>Critically Important / Essential</v>
      </c>
      <c r="AH47" s="435" t="str">
        <f>'Outcome Priotization'!F32</f>
        <v>Very Important</v>
      </c>
      <c r="AI47" s="435" t="str">
        <f>'Outcome Priotization'!F33</f>
        <v>Critically Important / Essential</v>
      </c>
      <c r="AJ47" s="435"/>
      <c r="AK47" s="441"/>
      <c r="AL47" s="439"/>
      <c r="AM47" s="435" t="str">
        <f>'Outcome Priotization'!F37</f>
        <v>Extremely Important</v>
      </c>
      <c r="AN47" s="435"/>
      <c r="AO47" s="441" t="str">
        <f>'Outcome Priotization'!F39</f>
        <v>Slightly unimportant</v>
      </c>
      <c r="AP47" s="439"/>
      <c r="AQ47" s="435" t="str">
        <f>'Outcome Priotization'!F41</f>
        <v>Critically Important / Essential</v>
      </c>
      <c r="AR47" s="437"/>
    </row>
    <row r="48" spans="1:44" ht="32.25" customHeight="1" x14ac:dyDescent="0.25">
      <c r="A48" s="161"/>
      <c r="B48" s="458"/>
      <c r="C48" s="459"/>
      <c r="D48" s="460"/>
      <c r="E48" s="150" t="s">
        <v>205</v>
      </c>
      <c r="F48" s="249"/>
      <c r="G48" s="180"/>
      <c r="H48" s="181" t="s">
        <v>152</v>
      </c>
      <c r="I48" s="181" t="s">
        <v>152</v>
      </c>
      <c r="J48" s="182" t="s">
        <v>152</v>
      </c>
      <c r="K48" s="458"/>
      <c r="L48" s="458"/>
      <c r="M48" s="457"/>
      <c r="N48" s="445"/>
      <c r="O48" s="435"/>
      <c r="P48" s="435"/>
      <c r="Q48" s="435"/>
      <c r="R48" s="435"/>
      <c r="S48" s="435"/>
      <c r="T48" s="435"/>
      <c r="U48" s="435"/>
      <c r="V48" s="441"/>
      <c r="W48" s="439"/>
      <c r="X48" s="435"/>
      <c r="Y48" s="435"/>
      <c r="Z48" s="435"/>
      <c r="AA48" s="441"/>
      <c r="AB48" s="439"/>
      <c r="AC48" s="435"/>
      <c r="AD48" s="435"/>
      <c r="AE48" s="435"/>
      <c r="AF48" s="441"/>
      <c r="AG48" s="439"/>
      <c r="AH48" s="435"/>
      <c r="AI48" s="435"/>
      <c r="AJ48" s="435"/>
      <c r="AK48" s="441"/>
      <c r="AL48" s="439"/>
      <c r="AM48" s="435"/>
      <c r="AN48" s="435"/>
      <c r="AO48" s="441"/>
      <c r="AP48" s="439"/>
      <c r="AQ48" s="435"/>
      <c r="AR48" s="437"/>
    </row>
    <row r="49" spans="1:44" ht="32.25" customHeight="1" x14ac:dyDescent="0.25">
      <c r="A49" s="161"/>
      <c r="B49" s="448"/>
      <c r="C49" s="450"/>
      <c r="D49" s="452"/>
      <c r="E49" s="150" t="s">
        <v>206</v>
      </c>
      <c r="F49" s="249"/>
      <c r="G49" s="180" t="s">
        <v>152</v>
      </c>
      <c r="H49" s="181" t="s">
        <v>152</v>
      </c>
      <c r="I49" s="181" t="s">
        <v>152</v>
      </c>
      <c r="J49" s="182" t="s">
        <v>152</v>
      </c>
      <c r="K49" s="448"/>
      <c r="L49" s="448"/>
      <c r="M49" s="444"/>
      <c r="N49" s="446"/>
      <c r="O49" s="436"/>
      <c r="P49" s="436"/>
      <c r="Q49" s="436"/>
      <c r="R49" s="436"/>
      <c r="S49" s="436"/>
      <c r="T49" s="436"/>
      <c r="U49" s="436"/>
      <c r="V49" s="442"/>
      <c r="W49" s="440"/>
      <c r="X49" s="436"/>
      <c r="Y49" s="436"/>
      <c r="Z49" s="436"/>
      <c r="AA49" s="442"/>
      <c r="AB49" s="440"/>
      <c r="AC49" s="436"/>
      <c r="AD49" s="436"/>
      <c r="AE49" s="436"/>
      <c r="AF49" s="442"/>
      <c r="AG49" s="440"/>
      <c r="AH49" s="436"/>
      <c r="AI49" s="436"/>
      <c r="AJ49" s="436"/>
      <c r="AK49" s="442"/>
      <c r="AL49" s="440"/>
      <c r="AM49" s="436"/>
      <c r="AN49" s="436"/>
      <c r="AO49" s="442"/>
      <c r="AP49" s="440"/>
      <c r="AQ49" s="436"/>
      <c r="AR49" s="438"/>
    </row>
    <row r="50" spans="1:44" ht="12.75" customHeight="1" x14ac:dyDescent="0.25">
      <c r="A50" s="161"/>
      <c r="B50" s="164">
        <v>8</v>
      </c>
      <c r="C50" s="155" t="s">
        <v>207</v>
      </c>
      <c r="D50" s="244"/>
      <c r="E50" s="156"/>
      <c r="F50" s="252"/>
      <c r="G50" s="189"/>
      <c r="H50" s="190"/>
      <c r="I50" s="190"/>
      <c r="J50" s="59"/>
      <c r="K50" s="136"/>
      <c r="L50" s="136"/>
      <c r="M50" s="171"/>
      <c r="N50" s="122"/>
      <c r="O50" s="123"/>
      <c r="P50" s="123"/>
      <c r="Q50" s="123"/>
      <c r="R50" s="123"/>
      <c r="S50" s="123"/>
      <c r="T50" s="123"/>
      <c r="U50" s="123"/>
      <c r="V50" s="124"/>
      <c r="W50" s="122"/>
      <c r="X50" s="123"/>
      <c r="Y50" s="123"/>
      <c r="Z50" s="123"/>
      <c r="AA50" s="124"/>
      <c r="AB50" s="122"/>
      <c r="AC50" s="123"/>
      <c r="AD50" s="123"/>
      <c r="AE50" s="123"/>
      <c r="AF50" s="124"/>
      <c r="AG50" s="122"/>
      <c r="AH50" s="123"/>
      <c r="AI50" s="123"/>
      <c r="AJ50" s="123"/>
      <c r="AK50" s="124"/>
      <c r="AL50" s="122"/>
      <c r="AM50" s="123"/>
      <c r="AN50" s="123"/>
      <c r="AO50" s="124"/>
      <c r="AP50" s="122"/>
      <c r="AQ50" s="123"/>
      <c r="AR50" s="125"/>
    </row>
    <row r="51" spans="1:44" s="121" customFormat="1" ht="49.5" customHeight="1" x14ac:dyDescent="0.25">
      <c r="A51" s="137"/>
      <c r="B51" s="447">
        <v>8.1</v>
      </c>
      <c r="C51" s="449" t="s">
        <v>208</v>
      </c>
      <c r="D51" s="451"/>
      <c r="E51" s="154" t="s">
        <v>209</v>
      </c>
      <c r="F51" s="251"/>
      <c r="G51" s="177"/>
      <c r="H51" s="178"/>
      <c r="I51" s="178" t="s">
        <v>152</v>
      </c>
      <c r="J51" s="186" t="s">
        <v>152</v>
      </c>
      <c r="K51" s="447" cm="1">
        <f t="array" ref="K51">SUMPRODUCT(IFERROR(VLOOKUP(N51:AR51,'Response Options'!$D$5:$E$10,2,FALSE),0))/COUNTA(N51:AR51)</f>
        <v>3</v>
      </c>
      <c r="L51" s="447">
        <f t="shared" si="0"/>
        <v>3</v>
      </c>
      <c r="M51" s="443" t="str">
        <f>_xlfn.XLOOKUP(L51,'Response Options'!$E$5:$E$10,'Response Options'!$D$5:$D$10)</f>
        <v>Very Important</v>
      </c>
      <c r="N51" s="445"/>
      <c r="O51" s="435"/>
      <c r="P51" s="435"/>
      <c r="Q51" s="435"/>
      <c r="R51" s="435"/>
      <c r="S51" s="435"/>
      <c r="T51" s="435"/>
      <c r="U51" s="435"/>
      <c r="V51" s="441"/>
      <c r="W51" s="439" t="str">
        <f>'Outcome Priotization'!F21</f>
        <v>Extremely Important</v>
      </c>
      <c r="X51" s="435" t="str">
        <f>'Outcome Priotization'!F22</f>
        <v>Slightly unimportant</v>
      </c>
      <c r="Y51" s="435" t="str">
        <f>'Outcome Priotization'!F23</f>
        <v>Very Important</v>
      </c>
      <c r="Z51" s="435" t="str">
        <f>'Outcome Priotization'!F24</f>
        <v>Critically Important / Essential</v>
      </c>
      <c r="AA51" s="441" t="str">
        <f>'Outcome Priotization'!F25</f>
        <v>Critically Important / Essential</v>
      </c>
      <c r="AB51" s="439" t="str">
        <f>'Outcome Priotization'!F26</f>
        <v>Extremely Important</v>
      </c>
      <c r="AC51" s="435" t="str">
        <f>'Outcome Priotization'!F27</f>
        <v>Moderately Important</v>
      </c>
      <c r="AD51" s="435" t="str">
        <f>'Outcome Priotization'!F28</f>
        <v>Slightly unimportant</v>
      </c>
      <c r="AE51" s="435" t="str">
        <f>'Outcome Priotization'!F29</f>
        <v>Moderately Important</v>
      </c>
      <c r="AF51" s="441"/>
      <c r="AG51" s="439"/>
      <c r="AH51" s="435"/>
      <c r="AI51" s="435"/>
      <c r="AJ51" s="435"/>
      <c r="AK51" s="441"/>
      <c r="AL51" s="439" t="str">
        <f>'Outcome Priotization'!F36</f>
        <v>Moderately Important</v>
      </c>
      <c r="AM51" s="435" t="str">
        <f>'Outcome Priotization'!F37</f>
        <v>Extremely Important</v>
      </c>
      <c r="AN51" s="435" t="str">
        <f>'Outcome Priotization'!F38</f>
        <v>Very Important</v>
      </c>
      <c r="AO51" s="441"/>
      <c r="AP51" s="439"/>
      <c r="AQ51" s="435" t="str">
        <f>'Outcome Priotization'!F41</f>
        <v>Critically Important / Essential</v>
      </c>
      <c r="AR51" s="437"/>
    </row>
    <row r="52" spans="1:44" s="121" customFormat="1" ht="49.5" customHeight="1" x14ac:dyDescent="0.25">
      <c r="A52" s="137"/>
      <c r="B52" s="458"/>
      <c r="C52" s="459"/>
      <c r="D52" s="460"/>
      <c r="E52" s="150" t="s">
        <v>210</v>
      </c>
      <c r="F52" s="249"/>
      <c r="G52" s="180" t="s">
        <v>152</v>
      </c>
      <c r="H52" s="181" t="s">
        <v>152</v>
      </c>
      <c r="I52" s="181" t="s">
        <v>152</v>
      </c>
      <c r="J52" s="182" t="s">
        <v>152</v>
      </c>
      <c r="K52" s="458"/>
      <c r="L52" s="458"/>
      <c r="M52" s="457"/>
      <c r="N52" s="445"/>
      <c r="O52" s="435"/>
      <c r="P52" s="435"/>
      <c r="Q52" s="435"/>
      <c r="R52" s="435"/>
      <c r="S52" s="435"/>
      <c r="T52" s="435"/>
      <c r="U52" s="435"/>
      <c r="V52" s="441"/>
      <c r="W52" s="439"/>
      <c r="X52" s="435"/>
      <c r="Y52" s="435"/>
      <c r="Z52" s="435"/>
      <c r="AA52" s="441"/>
      <c r="AB52" s="439"/>
      <c r="AC52" s="435"/>
      <c r="AD52" s="435"/>
      <c r="AE52" s="435"/>
      <c r="AF52" s="441"/>
      <c r="AG52" s="439"/>
      <c r="AH52" s="435"/>
      <c r="AI52" s="435"/>
      <c r="AJ52" s="435"/>
      <c r="AK52" s="441"/>
      <c r="AL52" s="439"/>
      <c r="AM52" s="435"/>
      <c r="AN52" s="435"/>
      <c r="AO52" s="441"/>
      <c r="AP52" s="439"/>
      <c r="AQ52" s="435"/>
      <c r="AR52" s="437"/>
    </row>
    <row r="53" spans="1:44" s="121" customFormat="1" ht="49.5" customHeight="1" x14ac:dyDescent="0.25">
      <c r="A53" s="137"/>
      <c r="B53" s="453"/>
      <c r="C53" s="454"/>
      <c r="D53" s="455"/>
      <c r="E53" s="150" t="s">
        <v>211</v>
      </c>
      <c r="F53" s="249"/>
      <c r="G53" s="180" t="s">
        <v>152</v>
      </c>
      <c r="H53" s="181" t="s">
        <v>152</v>
      </c>
      <c r="I53" s="181" t="s">
        <v>152</v>
      </c>
      <c r="J53" s="182"/>
      <c r="K53" s="453"/>
      <c r="L53" s="453"/>
      <c r="M53" s="456"/>
      <c r="N53" s="445"/>
      <c r="O53" s="435"/>
      <c r="P53" s="435"/>
      <c r="Q53" s="435"/>
      <c r="R53" s="435"/>
      <c r="S53" s="435"/>
      <c r="T53" s="435"/>
      <c r="U53" s="435"/>
      <c r="V53" s="441"/>
      <c r="W53" s="439"/>
      <c r="X53" s="435"/>
      <c r="Y53" s="435"/>
      <c r="Z53" s="435"/>
      <c r="AA53" s="441"/>
      <c r="AB53" s="439"/>
      <c r="AC53" s="435"/>
      <c r="AD53" s="435"/>
      <c r="AE53" s="435"/>
      <c r="AF53" s="441"/>
      <c r="AG53" s="439"/>
      <c r="AH53" s="435"/>
      <c r="AI53" s="435"/>
      <c r="AJ53" s="435"/>
      <c r="AK53" s="441"/>
      <c r="AL53" s="439"/>
      <c r="AM53" s="435"/>
      <c r="AN53" s="435"/>
      <c r="AO53" s="441"/>
      <c r="AP53" s="439"/>
      <c r="AQ53" s="435"/>
      <c r="AR53" s="437"/>
    </row>
    <row r="54" spans="1:44" s="121" customFormat="1" ht="49.5" customHeight="1" x14ac:dyDescent="0.25">
      <c r="A54" s="137"/>
      <c r="B54" s="447">
        <v>8.1999999999999993</v>
      </c>
      <c r="C54" s="449" t="s">
        <v>212</v>
      </c>
      <c r="D54" s="451"/>
      <c r="E54" s="154" t="s">
        <v>213</v>
      </c>
      <c r="F54" s="251"/>
      <c r="G54" s="177" t="s">
        <v>152</v>
      </c>
      <c r="H54" s="178" t="s">
        <v>152</v>
      </c>
      <c r="I54" s="178"/>
      <c r="J54" s="186" t="s">
        <v>152</v>
      </c>
      <c r="K54" s="447" cm="1">
        <f t="array" ref="K54">SUMPRODUCT(IFERROR(VLOOKUP(N54:AR54,'Response Options'!$D$5:$E$10,2,FALSE),0))/COUNTA(N54:AR54)</f>
        <v>3.375</v>
      </c>
      <c r="L54" s="447">
        <f t="shared" si="0"/>
        <v>3</v>
      </c>
      <c r="M54" s="443" t="str">
        <f>_xlfn.XLOOKUP(L54,'Response Options'!$E$5:$E$10,'Response Options'!$D$5:$D$10)</f>
        <v>Very Important</v>
      </c>
      <c r="N54" s="445"/>
      <c r="O54" s="435"/>
      <c r="P54" s="435"/>
      <c r="Q54" s="435"/>
      <c r="R54" s="435"/>
      <c r="S54" s="435"/>
      <c r="T54" s="435"/>
      <c r="U54" s="435"/>
      <c r="V54" s="441"/>
      <c r="W54" s="439" t="str">
        <f>'Outcome Priotization'!F21</f>
        <v>Extremely Important</v>
      </c>
      <c r="X54" s="435" t="str">
        <f>'Outcome Priotization'!F22</f>
        <v>Slightly unimportant</v>
      </c>
      <c r="Y54" s="435" t="str">
        <f>'Outcome Priotization'!F23</f>
        <v>Very Important</v>
      </c>
      <c r="Z54" s="435" t="str">
        <f>'Outcome Priotization'!F24</f>
        <v>Critically Important / Essential</v>
      </c>
      <c r="AA54" s="441" t="str">
        <f>'Outcome Priotization'!F25</f>
        <v>Critically Important / Essential</v>
      </c>
      <c r="AB54" s="439" t="str">
        <f>'Outcome Priotization'!F26</f>
        <v>Extremely Important</v>
      </c>
      <c r="AC54" s="435"/>
      <c r="AD54" s="435" t="str">
        <f>'Outcome Priotization'!F28</f>
        <v>Slightly unimportant</v>
      </c>
      <c r="AE54" s="435"/>
      <c r="AF54" s="441" t="str">
        <f>'Outcome Priotization'!F30</f>
        <v>Slightly important</v>
      </c>
      <c r="AG54" s="439" t="str">
        <f>'Outcome Priotization'!F31</f>
        <v>Critically Important / Essential</v>
      </c>
      <c r="AH54" s="435" t="str">
        <f>'Outcome Priotization'!F32</f>
        <v>Very Important</v>
      </c>
      <c r="AI54" s="435" t="str">
        <f>'Outcome Priotization'!F33</f>
        <v>Critically Important / Essential</v>
      </c>
      <c r="AJ54" s="435" t="str">
        <f>'Outcome Priotization'!F34</f>
        <v>Critically Important / Essential</v>
      </c>
      <c r="AK54" s="441"/>
      <c r="AL54" s="439" t="str">
        <f>'Outcome Priotization'!F36</f>
        <v>Moderately Important</v>
      </c>
      <c r="AM54" s="435" t="str">
        <f>'Outcome Priotization'!F37</f>
        <v>Extremely Important</v>
      </c>
      <c r="AN54" s="435" t="str">
        <f>'Outcome Priotization'!F38</f>
        <v>Very Important</v>
      </c>
      <c r="AO54" s="441"/>
      <c r="AP54" s="439"/>
      <c r="AQ54" s="435" t="str">
        <f>'Outcome Priotization'!F41</f>
        <v>Critically Important / Essential</v>
      </c>
      <c r="AR54" s="437"/>
    </row>
    <row r="55" spans="1:44" s="121" customFormat="1" ht="49.5" customHeight="1" x14ac:dyDescent="0.25">
      <c r="A55" s="137"/>
      <c r="B55" s="458"/>
      <c r="C55" s="459"/>
      <c r="D55" s="460"/>
      <c r="E55" s="150" t="s">
        <v>214</v>
      </c>
      <c r="F55" s="249"/>
      <c r="G55" s="180" t="s">
        <v>152</v>
      </c>
      <c r="H55" s="181" t="s">
        <v>152</v>
      </c>
      <c r="I55" s="181" t="s">
        <v>152</v>
      </c>
      <c r="J55" s="182" t="s">
        <v>152</v>
      </c>
      <c r="K55" s="458"/>
      <c r="L55" s="458"/>
      <c r="M55" s="457"/>
      <c r="N55" s="445"/>
      <c r="O55" s="435"/>
      <c r="P55" s="435"/>
      <c r="Q55" s="435"/>
      <c r="R55" s="435"/>
      <c r="S55" s="435"/>
      <c r="T55" s="435"/>
      <c r="U55" s="435"/>
      <c r="V55" s="441"/>
      <c r="W55" s="439"/>
      <c r="X55" s="435"/>
      <c r="Y55" s="435"/>
      <c r="Z55" s="435"/>
      <c r="AA55" s="441"/>
      <c r="AB55" s="439"/>
      <c r="AC55" s="435"/>
      <c r="AD55" s="435"/>
      <c r="AE55" s="435"/>
      <c r="AF55" s="441"/>
      <c r="AG55" s="439"/>
      <c r="AH55" s="435"/>
      <c r="AI55" s="435"/>
      <c r="AJ55" s="435"/>
      <c r="AK55" s="441"/>
      <c r="AL55" s="439"/>
      <c r="AM55" s="435"/>
      <c r="AN55" s="435"/>
      <c r="AO55" s="441"/>
      <c r="AP55" s="439"/>
      <c r="AQ55" s="435"/>
      <c r="AR55" s="437"/>
    </row>
    <row r="56" spans="1:44" s="121" customFormat="1" ht="49.5" customHeight="1" x14ac:dyDescent="0.25">
      <c r="A56" s="137"/>
      <c r="B56" s="458"/>
      <c r="C56" s="459"/>
      <c r="D56" s="460"/>
      <c r="E56" s="150" t="s">
        <v>215</v>
      </c>
      <c r="F56" s="249"/>
      <c r="G56" s="180" t="s">
        <v>152</v>
      </c>
      <c r="H56" s="181" t="s">
        <v>152</v>
      </c>
      <c r="I56" s="181" t="s">
        <v>152</v>
      </c>
      <c r="J56" s="182" t="s">
        <v>152</v>
      </c>
      <c r="K56" s="458"/>
      <c r="L56" s="458"/>
      <c r="M56" s="457"/>
      <c r="N56" s="445"/>
      <c r="O56" s="435"/>
      <c r="P56" s="435"/>
      <c r="Q56" s="435"/>
      <c r="R56" s="435"/>
      <c r="S56" s="435"/>
      <c r="T56" s="435"/>
      <c r="U56" s="435"/>
      <c r="V56" s="441"/>
      <c r="W56" s="439"/>
      <c r="X56" s="435"/>
      <c r="Y56" s="435"/>
      <c r="Z56" s="435"/>
      <c r="AA56" s="441"/>
      <c r="AB56" s="439"/>
      <c r="AC56" s="435"/>
      <c r="AD56" s="435"/>
      <c r="AE56" s="435"/>
      <c r="AF56" s="441"/>
      <c r="AG56" s="439"/>
      <c r="AH56" s="435"/>
      <c r="AI56" s="435"/>
      <c r="AJ56" s="435"/>
      <c r="AK56" s="441"/>
      <c r="AL56" s="439"/>
      <c r="AM56" s="435"/>
      <c r="AN56" s="435"/>
      <c r="AO56" s="441"/>
      <c r="AP56" s="439"/>
      <c r="AQ56" s="435"/>
      <c r="AR56" s="437"/>
    </row>
    <row r="57" spans="1:44" s="121" customFormat="1" ht="64.5" customHeight="1" x14ac:dyDescent="0.25">
      <c r="A57" s="137"/>
      <c r="B57" s="453"/>
      <c r="C57" s="454"/>
      <c r="D57" s="455"/>
      <c r="E57" s="150" t="s">
        <v>216</v>
      </c>
      <c r="F57" s="249"/>
      <c r="G57" s="180" t="s">
        <v>152</v>
      </c>
      <c r="H57" s="181" t="s">
        <v>152</v>
      </c>
      <c r="I57" s="181" t="s">
        <v>152</v>
      </c>
      <c r="J57" s="182" t="s">
        <v>152</v>
      </c>
      <c r="K57" s="453"/>
      <c r="L57" s="453"/>
      <c r="M57" s="456"/>
      <c r="N57" s="445"/>
      <c r="O57" s="435"/>
      <c r="P57" s="435"/>
      <c r="Q57" s="435"/>
      <c r="R57" s="435"/>
      <c r="S57" s="435"/>
      <c r="T57" s="435"/>
      <c r="U57" s="435"/>
      <c r="V57" s="441"/>
      <c r="W57" s="439"/>
      <c r="X57" s="435"/>
      <c r="Y57" s="435"/>
      <c r="Z57" s="435"/>
      <c r="AA57" s="441"/>
      <c r="AB57" s="439"/>
      <c r="AC57" s="435"/>
      <c r="AD57" s="435"/>
      <c r="AE57" s="435"/>
      <c r="AF57" s="441"/>
      <c r="AG57" s="439"/>
      <c r="AH57" s="435"/>
      <c r="AI57" s="435"/>
      <c r="AJ57" s="435"/>
      <c r="AK57" s="441"/>
      <c r="AL57" s="439"/>
      <c r="AM57" s="435"/>
      <c r="AN57" s="435"/>
      <c r="AO57" s="441"/>
      <c r="AP57" s="439"/>
      <c r="AQ57" s="435"/>
      <c r="AR57" s="437"/>
    </row>
    <row r="58" spans="1:44" s="121" customFormat="1" ht="49.5" customHeight="1" x14ac:dyDescent="0.25">
      <c r="A58" s="137"/>
      <c r="B58" s="447">
        <v>8.3000000000000007</v>
      </c>
      <c r="C58" s="449" t="s">
        <v>217</v>
      </c>
      <c r="D58" s="451"/>
      <c r="E58" s="154" t="s">
        <v>218</v>
      </c>
      <c r="F58" s="251"/>
      <c r="G58" s="177"/>
      <c r="H58" s="178" t="s">
        <v>152</v>
      </c>
      <c r="I58" s="178" t="s">
        <v>152</v>
      </c>
      <c r="J58" s="186" t="s">
        <v>152</v>
      </c>
      <c r="K58" s="447" cm="1">
        <f t="array" ref="K58">SUMPRODUCT(IFERROR(VLOOKUP(N58:AR58,'Response Options'!$D$5:$E$10,2,FALSE),0))/COUNTA(N58:AR58)</f>
        <v>3</v>
      </c>
      <c r="L58" s="447">
        <f t="shared" ref="L58:L104" si="1">ROUND(K58,0)</f>
        <v>3</v>
      </c>
      <c r="M58" s="443" t="str">
        <f>_xlfn.XLOOKUP(L58,'Response Options'!$E$5:$E$10,'Response Options'!$D$5:$D$10)</f>
        <v>Very Important</v>
      </c>
      <c r="N58" s="445"/>
      <c r="O58" s="435"/>
      <c r="P58" s="435"/>
      <c r="Q58" s="435"/>
      <c r="R58" s="435"/>
      <c r="S58" s="435"/>
      <c r="T58" s="435"/>
      <c r="U58" s="435"/>
      <c r="V58" s="441"/>
      <c r="W58" s="439" t="str">
        <f>'Outcome Priotization'!F21</f>
        <v>Extremely Important</v>
      </c>
      <c r="X58" s="435"/>
      <c r="Y58" s="435"/>
      <c r="Z58" s="435" t="str">
        <f>'Outcome Priotization'!F24</f>
        <v>Critically Important / Essential</v>
      </c>
      <c r="AA58" s="441" t="str">
        <f>'Outcome Priotization'!F25</f>
        <v>Critically Important / Essential</v>
      </c>
      <c r="AB58" s="439" t="str">
        <f>'Outcome Priotization'!F26</f>
        <v>Extremely Important</v>
      </c>
      <c r="AC58" s="435"/>
      <c r="AD58" s="435" t="str">
        <f>'Outcome Priotization'!F28</f>
        <v>Slightly unimportant</v>
      </c>
      <c r="AE58" s="435" t="str">
        <f>'Outcome Priotization'!F29</f>
        <v>Moderately Important</v>
      </c>
      <c r="AF58" s="441"/>
      <c r="AG58" s="439"/>
      <c r="AH58" s="435"/>
      <c r="AI58" s="435"/>
      <c r="AJ58" s="435"/>
      <c r="AK58" s="441" t="str">
        <f>'Outcome Priotization'!F35</f>
        <v>Slightly important</v>
      </c>
      <c r="AL58" s="439"/>
      <c r="AM58" s="435"/>
      <c r="AN58" s="435" t="str">
        <f>'Outcome Priotization'!F38</f>
        <v>Very Important</v>
      </c>
      <c r="AO58" s="441"/>
      <c r="AP58" s="439"/>
      <c r="AQ58" s="435"/>
      <c r="AR58" s="437"/>
    </row>
    <row r="59" spans="1:44" s="121" customFormat="1" ht="49.5" customHeight="1" x14ac:dyDescent="0.25">
      <c r="A59" s="137"/>
      <c r="B59" s="448"/>
      <c r="C59" s="450"/>
      <c r="D59" s="452"/>
      <c r="E59" s="150" t="s">
        <v>219</v>
      </c>
      <c r="F59" s="249"/>
      <c r="G59" s="180" t="s">
        <v>152</v>
      </c>
      <c r="H59" s="181" t="s">
        <v>152</v>
      </c>
      <c r="I59" s="181" t="s">
        <v>152</v>
      </c>
      <c r="J59" s="182" t="s">
        <v>152</v>
      </c>
      <c r="K59" s="448"/>
      <c r="L59" s="448"/>
      <c r="M59" s="444"/>
      <c r="N59" s="446"/>
      <c r="O59" s="436"/>
      <c r="P59" s="436"/>
      <c r="Q59" s="436"/>
      <c r="R59" s="436"/>
      <c r="S59" s="436"/>
      <c r="T59" s="436"/>
      <c r="U59" s="436"/>
      <c r="V59" s="442"/>
      <c r="W59" s="440"/>
      <c r="X59" s="436"/>
      <c r="Y59" s="436"/>
      <c r="Z59" s="436"/>
      <c r="AA59" s="442"/>
      <c r="AB59" s="440"/>
      <c r="AC59" s="436"/>
      <c r="AD59" s="436"/>
      <c r="AE59" s="436"/>
      <c r="AF59" s="442"/>
      <c r="AG59" s="440"/>
      <c r="AH59" s="436"/>
      <c r="AI59" s="436"/>
      <c r="AJ59" s="436"/>
      <c r="AK59" s="442"/>
      <c r="AL59" s="440"/>
      <c r="AM59" s="436"/>
      <c r="AN59" s="436"/>
      <c r="AO59" s="442"/>
      <c r="AP59" s="440"/>
      <c r="AQ59" s="436"/>
      <c r="AR59" s="438"/>
    </row>
    <row r="60" spans="1:44" ht="13.5" customHeight="1" x14ac:dyDescent="0.25">
      <c r="A60" s="161"/>
      <c r="B60" s="132"/>
      <c r="C60" s="144" t="s">
        <v>220</v>
      </c>
      <c r="D60" s="240"/>
      <c r="E60" s="146"/>
      <c r="F60" s="246"/>
      <c r="G60" s="187"/>
      <c r="H60" s="188"/>
      <c r="I60" s="188"/>
      <c r="J60" s="63"/>
      <c r="K60" s="132"/>
      <c r="L60" s="132"/>
      <c r="M60" s="145"/>
      <c r="N60" s="109"/>
      <c r="O60" s="110"/>
      <c r="P60" s="110"/>
      <c r="Q60" s="110"/>
      <c r="R60" s="110"/>
      <c r="S60" s="110"/>
      <c r="T60" s="110"/>
      <c r="U60" s="110"/>
      <c r="V60" s="111"/>
      <c r="W60" s="109"/>
      <c r="X60" s="110"/>
      <c r="Y60" s="110"/>
      <c r="Z60" s="110"/>
      <c r="AA60" s="111"/>
      <c r="AB60" s="109"/>
      <c r="AC60" s="110"/>
      <c r="AD60" s="110"/>
      <c r="AE60" s="110"/>
      <c r="AF60" s="111"/>
      <c r="AG60" s="109"/>
      <c r="AH60" s="110"/>
      <c r="AI60" s="110"/>
      <c r="AJ60" s="110"/>
      <c r="AK60" s="111"/>
      <c r="AL60" s="109"/>
      <c r="AM60" s="110"/>
      <c r="AN60" s="110"/>
      <c r="AO60" s="111"/>
      <c r="AP60" s="109"/>
      <c r="AQ60" s="110"/>
      <c r="AR60" s="112"/>
    </row>
    <row r="61" spans="1:44" ht="14.25" customHeight="1" x14ac:dyDescent="0.25">
      <c r="A61" s="161"/>
      <c r="B61" s="162">
        <v>9</v>
      </c>
      <c r="C61" s="147" t="s">
        <v>221</v>
      </c>
      <c r="D61" s="241"/>
      <c r="E61" s="148"/>
      <c r="F61" s="247"/>
      <c r="G61" s="175"/>
      <c r="H61" s="176"/>
      <c r="I61" s="176"/>
      <c r="J61" s="206"/>
      <c r="K61" s="135"/>
      <c r="L61" s="135"/>
      <c r="M61" s="170"/>
      <c r="N61" s="199"/>
      <c r="O61" s="197"/>
      <c r="P61" s="197"/>
      <c r="Q61" s="197"/>
      <c r="R61" s="197"/>
      <c r="S61" s="197"/>
      <c r="T61" s="197"/>
      <c r="U61" s="197"/>
      <c r="V61" s="200"/>
      <c r="W61" s="199"/>
      <c r="X61" s="197"/>
      <c r="Y61" s="197"/>
      <c r="Z61" s="197"/>
      <c r="AA61" s="200"/>
      <c r="AB61" s="199"/>
      <c r="AC61" s="197"/>
      <c r="AD61" s="197"/>
      <c r="AE61" s="197"/>
      <c r="AF61" s="200"/>
      <c r="AG61" s="199"/>
      <c r="AH61" s="197"/>
      <c r="AI61" s="197"/>
      <c r="AJ61" s="197"/>
      <c r="AK61" s="200"/>
      <c r="AL61" s="199"/>
      <c r="AM61" s="197"/>
      <c r="AN61" s="197"/>
      <c r="AO61" s="200"/>
      <c r="AP61" s="199"/>
      <c r="AQ61" s="197"/>
      <c r="AR61" s="198"/>
    </row>
    <row r="62" spans="1:44" s="121" customFormat="1" ht="43.5" customHeight="1" x14ac:dyDescent="0.25">
      <c r="A62" s="137"/>
      <c r="B62" s="447">
        <v>9.1</v>
      </c>
      <c r="C62" s="449" t="s">
        <v>222</v>
      </c>
      <c r="D62" s="451"/>
      <c r="E62" s="154" t="s">
        <v>223</v>
      </c>
      <c r="F62" s="251"/>
      <c r="G62" s="177" t="s">
        <v>152</v>
      </c>
      <c r="H62" s="178" t="s">
        <v>152</v>
      </c>
      <c r="I62" s="178" t="s">
        <v>152</v>
      </c>
      <c r="J62" s="186" t="s">
        <v>152</v>
      </c>
      <c r="K62" s="447" cm="1">
        <f t="array" ref="K62">SUMPRODUCT(IFERROR(VLOOKUP(N62:AR62,'Response Options'!$D$5:$E$10,2,FALSE),0))/COUNTA(N62:AR62)</f>
        <v>3.3888888888888888</v>
      </c>
      <c r="L62" s="447">
        <f t="shared" si="1"/>
        <v>3</v>
      </c>
      <c r="M62" s="443" t="str">
        <f>_xlfn.XLOOKUP(L62,'Response Options'!$E$5:$E$10,'Response Options'!$D$5:$D$10)</f>
        <v>Very Important</v>
      </c>
      <c r="N62" s="445" t="str">
        <f>'Outcome Priotization'!$F$12</f>
        <v>Critically Important / Essential</v>
      </c>
      <c r="O62" s="435"/>
      <c r="P62" s="435"/>
      <c r="Q62" s="435" t="str">
        <f>'Outcome Priotization'!F15</f>
        <v>Slightly important</v>
      </c>
      <c r="R62" s="435"/>
      <c r="S62" s="435"/>
      <c r="T62" s="435" t="str">
        <f>'Outcome Priotization'!F18</f>
        <v>Critically Important / Essential</v>
      </c>
      <c r="U62" s="435"/>
      <c r="V62" s="441" t="str">
        <f>'Outcome Priotization'!F20</f>
        <v>Critically Important / Essential</v>
      </c>
      <c r="W62" s="439" t="str">
        <f>'Outcome Priotization'!F21</f>
        <v>Extremely Important</v>
      </c>
      <c r="X62" s="435" t="str">
        <f>'Outcome Priotization'!F22</f>
        <v>Slightly unimportant</v>
      </c>
      <c r="Y62" s="435" t="str">
        <f>'Outcome Priotization'!F23</f>
        <v>Very Important</v>
      </c>
      <c r="Z62" s="435" t="str">
        <f>'Outcome Priotization'!F24</f>
        <v>Critically Important / Essential</v>
      </c>
      <c r="AA62" s="441" t="str">
        <f>'Outcome Priotization'!F25</f>
        <v>Critically Important / Essential</v>
      </c>
      <c r="AB62" s="439" t="str">
        <f>'Outcome Priotization'!F26</f>
        <v>Extremely Important</v>
      </c>
      <c r="AC62" s="435"/>
      <c r="AD62" s="435" t="str">
        <f>'Outcome Priotization'!F28</f>
        <v>Slightly unimportant</v>
      </c>
      <c r="AE62" s="435"/>
      <c r="AF62" s="441"/>
      <c r="AG62" s="439" t="str">
        <f>'Outcome Priotization'!F31</f>
        <v>Critically Important / Essential</v>
      </c>
      <c r="AH62" s="435"/>
      <c r="AI62" s="435" t="str">
        <f>'Outcome Priotization'!F33</f>
        <v>Critically Important / Essential</v>
      </c>
      <c r="AJ62" s="435"/>
      <c r="AK62" s="441"/>
      <c r="AL62" s="439" t="str">
        <f>'Outcome Priotization'!F36</f>
        <v>Moderately Important</v>
      </c>
      <c r="AM62" s="435" t="str">
        <f>'Outcome Priotization'!F37</f>
        <v>Extremely Important</v>
      </c>
      <c r="AN62" s="435" t="str">
        <f>'Outcome Priotization'!F38</f>
        <v>Very Important</v>
      </c>
      <c r="AO62" s="441" t="str">
        <f>'Outcome Priotization'!F39</f>
        <v>Slightly unimportant</v>
      </c>
      <c r="AP62" s="439"/>
      <c r="AQ62" s="435" t="str">
        <f>'Outcome Priotization'!F41</f>
        <v>Critically Important / Essential</v>
      </c>
      <c r="AR62" s="437"/>
    </row>
    <row r="63" spans="1:44" s="121" customFormat="1" ht="43.5" customHeight="1" x14ac:dyDescent="0.25">
      <c r="A63" s="137"/>
      <c r="B63" s="458"/>
      <c r="C63" s="459"/>
      <c r="D63" s="460"/>
      <c r="E63" s="150" t="s">
        <v>224</v>
      </c>
      <c r="F63" s="249"/>
      <c r="G63" s="180" t="s">
        <v>152</v>
      </c>
      <c r="H63" s="181" t="s">
        <v>152</v>
      </c>
      <c r="I63" s="181" t="s">
        <v>152</v>
      </c>
      <c r="J63" s="182" t="s">
        <v>152</v>
      </c>
      <c r="K63" s="458"/>
      <c r="L63" s="458"/>
      <c r="M63" s="457"/>
      <c r="N63" s="445"/>
      <c r="O63" s="435"/>
      <c r="P63" s="435"/>
      <c r="Q63" s="435"/>
      <c r="R63" s="435"/>
      <c r="S63" s="435"/>
      <c r="T63" s="435"/>
      <c r="U63" s="435"/>
      <c r="V63" s="441"/>
      <c r="W63" s="439"/>
      <c r="X63" s="435"/>
      <c r="Y63" s="435"/>
      <c r="Z63" s="435"/>
      <c r="AA63" s="441"/>
      <c r="AB63" s="439"/>
      <c r="AC63" s="435"/>
      <c r="AD63" s="435"/>
      <c r="AE63" s="435"/>
      <c r="AF63" s="441"/>
      <c r="AG63" s="439"/>
      <c r="AH63" s="435"/>
      <c r="AI63" s="435"/>
      <c r="AJ63" s="435"/>
      <c r="AK63" s="441"/>
      <c r="AL63" s="439"/>
      <c r="AM63" s="435"/>
      <c r="AN63" s="435"/>
      <c r="AO63" s="441"/>
      <c r="AP63" s="439"/>
      <c r="AQ63" s="435"/>
      <c r="AR63" s="437"/>
    </row>
    <row r="64" spans="1:44" s="121" customFormat="1" ht="43.5" customHeight="1" x14ac:dyDescent="0.25">
      <c r="A64" s="137"/>
      <c r="B64" s="453"/>
      <c r="C64" s="454"/>
      <c r="D64" s="455"/>
      <c r="E64" s="150" t="s">
        <v>225</v>
      </c>
      <c r="F64" s="249"/>
      <c r="G64" s="180" t="s">
        <v>152</v>
      </c>
      <c r="H64" s="181" t="s">
        <v>152</v>
      </c>
      <c r="I64" s="181" t="s">
        <v>152</v>
      </c>
      <c r="J64" s="182" t="s">
        <v>152</v>
      </c>
      <c r="K64" s="453"/>
      <c r="L64" s="453"/>
      <c r="M64" s="456"/>
      <c r="N64" s="445"/>
      <c r="O64" s="435"/>
      <c r="P64" s="435"/>
      <c r="Q64" s="435"/>
      <c r="R64" s="435"/>
      <c r="S64" s="435"/>
      <c r="T64" s="435"/>
      <c r="U64" s="435"/>
      <c r="V64" s="441"/>
      <c r="W64" s="439"/>
      <c r="X64" s="435"/>
      <c r="Y64" s="435"/>
      <c r="Z64" s="435"/>
      <c r="AA64" s="441"/>
      <c r="AB64" s="439"/>
      <c r="AC64" s="435"/>
      <c r="AD64" s="435"/>
      <c r="AE64" s="435"/>
      <c r="AF64" s="441"/>
      <c r="AG64" s="439"/>
      <c r="AH64" s="435"/>
      <c r="AI64" s="435"/>
      <c r="AJ64" s="435"/>
      <c r="AK64" s="441"/>
      <c r="AL64" s="439"/>
      <c r="AM64" s="435"/>
      <c r="AN64" s="435"/>
      <c r="AO64" s="441"/>
      <c r="AP64" s="439"/>
      <c r="AQ64" s="435"/>
      <c r="AR64" s="437"/>
    </row>
    <row r="65" spans="1:44" s="121" customFormat="1" ht="32.25" customHeight="1" x14ac:dyDescent="0.25">
      <c r="A65" s="137"/>
      <c r="B65" s="447">
        <v>9.1999999999999993</v>
      </c>
      <c r="C65" s="449" t="s">
        <v>226</v>
      </c>
      <c r="D65" s="451"/>
      <c r="E65" s="154" t="s">
        <v>227</v>
      </c>
      <c r="F65" s="251"/>
      <c r="G65" s="177" t="s">
        <v>152</v>
      </c>
      <c r="H65" s="178" t="s">
        <v>152</v>
      </c>
      <c r="I65" s="178" t="s">
        <v>152</v>
      </c>
      <c r="J65" s="186" t="s">
        <v>152</v>
      </c>
      <c r="K65" s="447" cm="1">
        <f t="array" ref="K65">SUMPRODUCT(IFERROR(VLOOKUP(N65:AR65,'Response Options'!$D$5:$E$10,2,FALSE),0))/COUNTA(N65:AR65)</f>
        <v>3.6666666666666665</v>
      </c>
      <c r="L65" s="447">
        <f t="shared" si="1"/>
        <v>4</v>
      </c>
      <c r="M65" s="443" t="str">
        <f>_xlfn.XLOOKUP(L65,'Response Options'!$E$5:$E$10,'Response Options'!$D$5:$D$10)</f>
        <v>Extremely Important</v>
      </c>
      <c r="N65" s="445"/>
      <c r="O65" s="435"/>
      <c r="P65" s="435" t="str">
        <f>'Outcome Priotization'!F14</f>
        <v>Critically Important / Essential</v>
      </c>
      <c r="Q65" s="435" t="str">
        <f>'Outcome Priotization'!F15</f>
        <v>Slightly important</v>
      </c>
      <c r="R65" s="435" t="str">
        <f>'Outcome Priotization'!F16</f>
        <v>Critically Important / Essential</v>
      </c>
      <c r="S65" s="435" t="str">
        <f>'Outcome Priotization'!F17</f>
        <v>Very Important</v>
      </c>
      <c r="T65" s="435" t="str">
        <f>'Outcome Priotization'!F18</f>
        <v>Critically Important / Essential</v>
      </c>
      <c r="U65" s="435" t="str">
        <f>'Outcome Priotization'!F19</f>
        <v>Critically Important / Essential</v>
      </c>
      <c r="V65" s="441" t="str">
        <f>'Outcome Priotization'!F20</f>
        <v>Critically Important / Essential</v>
      </c>
      <c r="W65" s="439" t="str">
        <f>'Outcome Priotization'!F21</f>
        <v>Extremely Important</v>
      </c>
      <c r="X65" s="435" t="str">
        <f>'Outcome Priotization'!F22</f>
        <v>Slightly unimportant</v>
      </c>
      <c r="Y65" s="435"/>
      <c r="Z65" s="435" t="str">
        <f>'Outcome Priotization'!F24</f>
        <v>Critically Important / Essential</v>
      </c>
      <c r="AA65" s="441" t="str">
        <f>'Outcome Priotization'!F25</f>
        <v>Critically Important / Essential</v>
      </c>
      <c r="AB65" s="439" t="str">
        <f>'Outcome Priotization'!F26</f>
        <v>Extremely Important</v>
      </c>
      <c r="AC65" s="435"/>
      <c r="AD65" s="435" t="str">
        <f>'Outcome Priotization'!F28</f>
        <v>Slightly unimportant</v>
      </c>
      <c r="AE65" s="435"/>
      <c r="AF65" s="441"/>
      <c r="AG65" s="439" t="str">
        <f>'Outcome Priotization'!F31</f>
        <v>Critically Important / Essential</v>
      </c>
      <c r="AH65" s="435"/>
      <c r="AI65" s="435" t="str">
        <f>'Outcome Priotization'!F33</f>
        <v>Critically Important / Essential</v>
      </c>
      <c r="AJ65" s="435"/>
      <c r="AK65" s="441"/>
      <c r="AL65" s="439" t="str">
        <f>'Outcome Priotization'!F36</f>
        <v>Moderately Important</v>
      </c>
      <c r="AM65" s="435" t="str">
        <f>'Outcome Priotization'!F37</f>
        <v>Extremely Important</v>
      </c>
      <c r="AN65" s="435" t="str">
        <f>'Outcome Priotization'!F38</f>
        <v>Very Important</v>
      </c>
      <c r="AO65" s="441"/>
      <c r="AP65" s="439"/>
      <c r="AQ65" s="435"/>
      <c r="AR65" s="437"/>
    </row>
    <row r="66" spans="1:44" s="121" customFormat="1" ht="32.25" customHeight="1" x14ac:dyDescent="0.25">
      <c r="A66" s="137"/>
      <c r="B66" s="458"/>
      <c r="C66" s="459"/>
      <c r="D66" s="460"/>
      <c r="E66" s="150" t="s">
        <v>228</v>
      </c>
      <c r="F66" s="249"/>
      <c r="G66" s="180"/>
      <c r="H66" s="181"/>
      <c r="I66" s="181" t="s">
        <v>152</v>
      </c>
      <c r="J66" s="182" t="s">
        <v>152</v>
      </c>
      <c r="K66" s="458"/>
      <c r="L66" s="458"/>
      <c r="M66" s="457"/>
      <c r="N66" s="445"/>
      <c r="O66" s="435"/>
      <c r="P66" s="435"/>
      <c r="Q66" s="435"/>
      <c r="R66" s="435"/>
      <c r="S66" s="435"/>
      <c r="T66" s="435"/>
      <c r="U66" s="435"/>
      <c r="V66" s="441"/>
      <c r="W66" s="439"/>
      <c r="X66" s="435"/>
      <c r="Y66" s="435"/>
      <c r="Z66" s="435"/>
      <c r="AA66" s="441"/>
      <c r="AB66" s="439"/>
      <c r="AC66" s="435"/>
      <c r="AD66" s="435"/>
      <c r="AE66" s="435"/>
      <c r="AF66" s="441"/>
      <c r="AG66" s="439"/>
      <c r="AH66" s="435"/>
      <c r="AI66" s="435"/>
      <c r="AJ66" s="435"/>
      <c r="AK66" s="441"/>
      <c r="AL66" s="439"/>
      <c r="AM66" s="435"/>
      <c r="AN66" s="435"/>
      <c r="AO66" s="441"/>
      <c r="AP66" s="439"/>
      <c r="AQ66" s="435"/>
      <c r="AR66" s="437"/>
    </row>
    <row r="67" spans="1:44" s="121" customFormat="1" ht="32.25" customHeight="1" x14ac:dyDescent="0.25">
      <c r="A67" s="137"/>
      <c r="B67" s="453"/>
      <c r="C67" s="454"/>
      <c r="D67" s="455"/>
      <c r="E67" s="150" t="s">
        <v>229</v>
      </c>
      <c r="F67" s="249"/>
      <c r="G67" s="180" t="s">
        <v>152</v>
      </c>
      <c r="H67" s="181" t="s">
        <v>152</v>
      </c>
      <c r="I67" s="181" t="s">
        <v>152</v>
      </c>
      <c r="J67" s="182" t="s">
        <v>152</v>
      </c>
      <c r="K67" s="453"/>
      <c r="L67" s="453"/>
      <c r="M67" s="456"/>
      <c r="N67" s="445"/>
      <c r="O67" s="435"/>
      <c r="P67" s="435"/>
      <c r="Q67" s="435"/>
      <c r="R67" s="435"/>
      <c r="S67" s="435"/>
      <c r="T67" s="435"/>
      <c r="U67" s="435"/>
      <c r="V67" s="441"/>
      <c r="W67" s="439"/>
      <c r="X67" s="435"/>
      <c r="Y67" s="435"/>
      <c r="Z67" s="435"/>
      <c r="AA67" s="441"/>
      <c r="AB67" s="439"/>
      <c r="AC67" s="435"/>
      <c r="AD67" s="435"/>
      <c r="AE67" s="435"/>
      <c r="AF67" s="441"/>
      <c r="AG67" s="439"/>
      <c r="AH67" s="435"/>
      <c r="AI67" s="435"/>
      <c r="AJ67" s="435"/>
      <c r="AK67" s="441"/>
      <c r="AL67" s="439"/>
      <c r="AM67" s="435"/>
      <c r="AN67" s="435"/>
      <c r="AO67" s="441"/>
      <c r="AP67" s="439"/>
      <c r="AQ67" s="435"/>
      <c r="AR67" s="437"/>
    </row>
    <row r="68" spans="1:44" s="121" customFormat="1" ht="45" customHeight="1" x14ac:dyDescent="0.25">
      <c r="A68" s="137"/>
      <c r="B68" s="447">
        <v>9.3000000000000007</v>
      </c>
      <c r="C68" s="449" t="s">
        <v>230</v>
      </c>
      <c r="D68" s="451"/>
      <c r="E68" s="154" t="s">
        <v>231</v>
      </c>
      <c r="F68" s="251"/>
      <c r="G68" s="177"/>
      <c r="H68" s="178" t="s">
        <v>152</v>
      </c>
      <c r="I68" s="178" t="s">
        <v>152</v>
      </c>
      <c r="J68" s="186" t="s">
        <v>152</v>
      </c>
      <c r="K68" s="447" cm="1">
        <f t="array" ref="K68">SUMPRODUCT(IFERROR(VLOOKUP(N68:AR68,'Response Options'!$D$5:$E$10,2,FALSE),0))/COUNTA(N68:AR68)</f>
        <v>2.5</v>
      </c>
      <c r="L68" s="447">
        <f t="shared" si="1"/>
        <v>3</v>
      </c>
      <c r="M68" s="443" t="str">
        <f>_xlfn.XLOOKUP(L68,'Response Options'!$E$5:$E$10,'Response Options'!$D$5:$D$10)</f>
        <v>Very Important</v>
      </c>
      <c r="N68" s="445"/>
      <c r="O68" s="435"/>
      <c r="P68" s="435"/>
      <c r="Q68" s="435"/>
      <c r="R68" s="435"/>
      <c r="S68" s="435"/>
      <c r="T68" s="435"/>
      <c r="U68" s="435"/>
      <c r="V68" s="441"/>
      <c r="W68" s="439" t="str">
        <f>'Outcome Priotization'!F21</f>
        <v>Extremely Important</v>
      </c>
      <c r="X68" s="435" t="str">
        <f>'Outcome Priotization'!F22</f>
        <v>Slightly unimportant</v>
      </c>
      <c r="Y68" s="435" t="str">
        <f>'Outcome Priotization'!F23</f>
        <v>Very Important</v>
      </c>
      <c r="Z68" s="435" t="str">
        <f>'Outcome Priotization'!F24</f>
        <v>Critically Important / Essential</v>
      </c>
      <c r="AA68" s="441" t="str">
        <f>'Outcome Priotization'!F25</f>
        <v>Critically Important / Essential</v>
      </c>
      <c r="AB68" s="439" t="str">
        <f>'Outcome Priotization'!F26</f>
        <v>Extremely Important</v>
      </c>
      <c r="AC68" s="435"/>
      <c r="AD68" s="435" t="str">
        <f>'Outcome Priotization'!F28</f>
        <v>Slightly unimportant</v>
      </c>
      <c r="AE68" s="435" t="str">
        <f>'Outcome Priotization'!F29</f>
        <v>Moderately Important</v>
      </c>
      <c r="AF68" s="441" t="str">
        <f>'Outcome Priotization'!F30</f>
        <v>Slightly important</v>
      </c>
      <c r="AG68" s="439"/>
      <c r="AH68" s="435"/>
      <c r="AI68" s="435"/>
      <c r="AJ68" s="435"/>
      <c r="AK68" s="441" t="str">
        <f>'Outcome Priotization'!F35</f>
        <v>Slightly important</v>
      </c>
      <c r="AL68" s="439"/>
      <c r="AM68" s="435"/>
      <c r="AN68" s="435"/>
      <c r="AO68" s="441"/>
      <c r="AP68" s="439"/>
      <c r="AQ68" s="435"/>
      <c r="AR68" s="437"/>
    </row>
    <row r="69" spans="1:44" s="121" customFormat="1" ht="45" customHeight="1" x14ac:dyDescent="0.25">
      <c r="A69" s="137"/>
      <c r="B69" s="458"/>
      <c r="C69" s="459"/>
      <c r="D69" s="460"/>
      <c r="E69" s="150" t="s">
        <v>232</v>
      </c>
      <c r="F69" s="249"/>
      <c r="G69" s="180" t="s">
        <v>152</v>
      </c>
      <c r="H69" s="181" t="s">
        <v>152</v>
      </c>
      <c r="I69" s="181" t="s">
        <v>152</v>
      </c>
      <c r="J69" s="182" t="s">
        <v>152</v>
      </c>
      <c r="K69" s="458"/>
      <c r="L69" s="458"/>
      <c r="M69" s="457"/>
      <c r="N69" s="445"/>
      <c r="O69" s="435"/>
      <c r="P69" s="435"/>
      <c r="Q69" s="435"/>
      <c r="R69" s="435"/>
      <c r="S69" s="435"/>
      <c r="T69" s="435"/>
      <c r="U69" s="435"/>
      <c r="V69" s="441"/>
      <c r="W69" s="439"/>
      <c r="X69" s="435"/>
      <c r="Y69" s="435"/>
      <c r="Z69" s="435"/>
      <c r="AA69" s="441"/>
      <c r="AB69" s="439"/>
      <c r="AC69" s="435"/>
      <c r="AD69" s="435"/>
      <c r="AE69" s="435"/>
      <c r="AF69" s="441"/>
      <c r="AG69" s="439"/>
      <c r="AH69" s="435"/>
      <c r="AI69" s="435"/>
      <c r="AJ69" s="435"/>
      <c r="AK69" s="441"/>
      <c r="AL69" s="439"/>
      <c r="AM69" s="435"/>
      <c r="AN69" s="435"/>
      <c r="AO69" s="441"/>
      <c r="AP69" s="439"/>
      <c r="AQ69" s="435"/>
      <c r="AR69" s="437"/>
    </row>
    <row r="70" spans="1:44" s="121" customFormat="1" ht="45" customHeight="1" x14ac:dyDescent="0.25">
      <c r="A70" s="137"/>
      <c r="B70" s="458"/>
      <c r="C70" s="459"/>
      <c r="D70" s="460"/>
      <c r="E70" s="150" t="s">
        <v>233</v>
      </c>
      <c r="F70" s="249"/>
      <c r="G70" s="180" t="s">
        <v>152</v>
      </c>
      <c r="H70" s="181" t="s">
        <v>152</v>
      </c>
      <c r="I70" s="181" t="s">
        <v>152</v>
      </c>
      <c r="J70" s="182" t="s">
        <v>152</v>
      </c>
      <c r="K70" s="458"/>
      <c r="L70" s="458"/>
      <c r="M70" s="457"/>
      <c r="N70" s="445"/>
      <c r="O70" s="435"/>
      <c r="P70" s="435"/>
      <c r="Q70" s="435"/>
      <c r="R70" s="435"/>
      <c r="S70" s="435"/>
      <c r="T70" s="435"/>
      <c r="U70" s="435"/>
      <c r="V70" s="441"/>
      <c r="W70" s="439"/>
      <c r="X70" s="435"/>
      <c r="Y70" s="435"/>
      <c r="Z70" s="435"/>
      <c r="AA70" s="441"/>
      <c r="AB70" s="439"/>
      <c r="AC70" s="435"/>
      <c r="AD70" s="435"/>
      <c r="AE70" s="435"/>
      <c r="AF70" s="441"/>
      <c r="AG70" s="439"/>
      <c r="AH70" s="435"/>
      <c r="AI70" s="435"/>
      <c r="AJ70" s="435"/>
      <c r="AK70" s="441"/>
      <c r="AL70" s="439"/>
      <c r="AM70" s="435"/>
      <c r="AN70" s="435"/>
      <c r="AO70" s="441"/>
      <c r="AP70" s="439"/>
      <c r="AQ70" s="435"/>
      <c r="AR70" s="437"/>
    </row>
    <row r="71" spans="1:44" s="121" customFormat="1" ht="45" customHeight="1" x14ac:dyDescent="0.25">
      <c r="A71" s="137"/>
      <c r="B71" s="453"/>
      <c r="C71" s="454"/>
      <c r="D71" s="455"/>
      <c r="E71" s="150" t="s">
        <v>234</v>
      </c>
      <c r="F71" s="249"/>
      <c r="G71" s="180" t="s">
        <v>152</v>
      </c>
      <c r="H71" s="181" t="s">
        <v>152</v>
      </c>
      <c r="I71" s="181" t="s">
        <v>152</v>
      </c>
      <c r="J71" s="182" t="s">
        <v>152</v>
      </c>
      <c r="K71" s="453"/>
      <c r="L71" s="453"/>
      <c r="M71" s="456"/>
      <c r="N71" s="445"/>
      <c r="O71" s="435"/>
      <c r="P71" s="435"/>
      <c r="Q71" s="435"/>
      <c r="R71" s="435"/>
      <c r="S71" s="435"/>
      <c r="T71" s="435"/>
      <c r="U71" s="435"/>
      <c r="V71" s="441"/>
      <c r="W71" s="439"/>
      <c r="X71" s="435"/>
      <c r="Y71" s="435"/>
      <c r="Z71" s="435"/>
      <c r="AA71" s="441"/>
      <c r="AB71" s="439"/>
      <c r="AC71" s="435"/>
      <c r="AD71" s="435"/>
      <c r="AE71" s="435"/>
      <c r="AF71" s="441"/>
      <c r="AG71" s="439"/>
      <c r="AH71" s="435"/>
      <c r="AI71" s="435"/>
      <c r="AJ71" s="435"/>
      <c r="AK71" s="441"/>
      <c r="AL71" s="439"/>
      <c r="AM71" s="435"/>
      <c r="AN71" s="435"/>
      <c r="AO71" s="441"/>
      <c r="AP71" s="439"/>
      <c r="AQ71" s="435"/>
      <c r="AR71" s="437"/>
    </row>
    <row r="72" spans="1:44" ht="45" customHeight="1" x14ac:dyDescent="0.25">
      <c r="A72" s="161"/>
      <c r="B72" s="447">
        <v>9.4</v>
      </c>
      <c r="C72" s="449" t="s">
        <v>235</v>
      </c>
      <c r="D72" s="451"/>
      <c r="E72" s="154" t="s">
        <v>236</v>
      </c>
      <c r="F72" s="251"/>
      <c r="G72" s="177"/>
      <c r="H72" s="178" t="s">
        <v>152</v>
      </c>
      <c r="I72" s="178" t="s">
        <v>152</v>
      </c>
      <c r="J72" s="186" t="s">
        <v>152</v>
      </c>
      <c r="K72" s="447" cm="1">
        <f t="array" ref="K72">SUMPRODUCT(IFERROR(VLOOKUP(N72:AR72,'Response Options'!$D$5:$E$10,2,FALSE),0))/COUNTA(N72:AR72)</f>
        <v>2.125</v>
      </c>
      <c r="L72" s="447">
        <f t="shared" si="1"/>
        <v>2</v>
      </c>
      <c r="M72" s="443" t="str">
        <f>_xlfn.XLOOKUP(L72,'Response Options'!$E$5:$E$10,'Response Options'!$D$5:$D$10)</f>
        <v>Moderately Important</v>
      </c>
      <c r="N72" s="445"/>
      <c r="O72" s="435"/>
      <c r="P72" s="435"/>
      <c r="Q72" s="435" t="str">
        <f>'Outcome Priotization'!F15</f>
        <v>Slightly important</v>
      </c>
      <c r="R72" s="435"/>
      <c r="S72" s="435"/>
      <c r="T72" s="435"/>
      <c r="U72" s="435"/>
      <c r="V72" s="441"/>
      <c r="W72" s="439"/>
      <c r="X72" s="435"/>
      <c r="Y72" s="435"/>
      <c r="Z72" s="435"/>
      <c r="AA72" s="441"/>
      <c r="AB72" s="439"/>
      <c r="AC72" s="435"/>
      <c r="AD72" s="435" t="str">
        <f>'Outcome Priotization'!F28</f>
        <v>Slightly unimportant</v>
      </c>
      <c r="AE72" s="435"/>
      <c r="AF72" s="441" t="str">
        <f>'Outcome Priotization'!F30</f>
        <v>Slightly important</v>
      </c>
      <c r="AG72" s="439" t="str">
        <f>'Outcome Priotization'!F31</f>
        <v>Critically Important / Essential</v>
      </c>
      <c r="AH72" s="435"/>
      <c r="AI72" s="435"/>
      <c r="AJ72" s="435"/>
      <c r="AK72" s="441" t="str">
        <f>'Outcome Priotization'!F35</f>
        <v>Slightly important</v>
      </c>
      <c r="AL72" s="439" t="str">
        <f>'Outcome Priotization'!F36</f>
        <v>Moderately Important</v>
      </c>
      <c r="AM72" s="435" t="str">
        <f>'Outcome Priotization'!F37</f>
        <v>Extremely Important</v>
      </c>
      <c r="AN72" s="435" t="str">
        <f>'Outcome Priotization'!F38</f>
        <v>Very Important</v>
      </c>
      <c r="AO72" s="441"/>
      <c r="AP72" s="439"/>
      <c r="AQ72" s="435"/>
      <c r="AR72" s="437"/>
    </row>
    <row r="73" spans="1:44" ht="45" customHeight="1" x14ac:dyDescent="0.25">
      <c r="A73" s="161"/>
      <c r="B73" s="448"/>
      <c r="C73" s="450"/>
      <c r="D73" s="452"/>
      <c r="E73" s="150" t="s">
        <v>237</v>
      </c>
      <c r="F73" s="249"/>
      <c r="G73" s="180" t="s">
        <v>152</v>
      </c>
      <c r="H73" s="181" t="s">
        <v>152</v>
      </c>
      <c r="I73" s="181" t="s">
        <v>152</v>
      </c>
      <c r="J73" s="182" t="s">
        <v>152</v>
      </c>
      <c r="K73" s="448"/>
      <c r="L73" s="448"/>
      <c r="M73" s="444"/>
      <c r="N73" s="446"/>
      <c r="O73" s="436"/>
      <c r="P73" s="436"/>
      <c r="Q73" s="436"/>
      <c r="R73" s="436"/>
      <c r="S73" s="436"/>
      <c r="T73" s="436"/>
      <c r="U73" s="436"/>
      <c r="V73" s="442"/>
      <c r="W73" s="440"/>
      <c r="X73" s="436"/>
      <c r="Y73" s="436"/>
      <c r="Z73" s="436"/>
      <c r="AA73" s="442"/>
      <c r="AB73" s="440"/>
      <c r="AC73" s="436"/>
      <c r="AD73" s="436"/>
      <c r="AE73" s="436"/>
      <c r="AF73" s="442"/>
      <c r="AG73" s="440"/>
      <c r="AH73" s="436"/>
      <c r="AI73" s="436"/>
      <c r="AJ73" s="436"/>
      <c r="AK73" s="442"/>
      <c r="AL73" s="440"/>
      <c r="AM73" s="436"/>
      <c r="AN73" s="436"/>
      <c r="AO73" s="442"/>
      <c r="AP73" s="440"/>
      <c r="AQ73" s="436"/>
      <c r="AR73" s="438"/>
    </row>
    <row r="74" spans="1:44" ht="13.5" customHeight="1" x14ac:dyDescent="0.25">
      <c r="A74" s="161"/>
      <c r="B74" s="164">
        <v>10</v>
      </c>
      <c r="C74" s="155" t="s">
        <v>238</v>
      </c>
      <c r="D74" s="244"/>
      <c r="E74" s="156"/>
      <c r="F74" s="252"/>
      <c r="G74" s="189"/>
      <c r="H74" s="190"/>
      <c r="I74" s="190"/>
      <c r="J74" s="59"/>
      <c r="K74" s="136"/>
      <c r="L74" s="136"/>
      <c r="M74" s="171"/>
      <c r="N74" s="122"/>
      <c r="O74" s="123"/>
      <c r="P74" s="123"/>
      <c r="Q74" s="123"/>
      <c r="R74" s="123"/>
      <c r="S74" s="123"/>
      <c r="T74" s="123"/>
      <c r="U74" s="123"/>
      <c r="V74" s="124"/>
      <c r="W74" s="122"/>
      <c r="X74" s="123"/>
      <c r="Y74" s="123"/>
      <c r="Z74" s="123"/>
      <c r="AA74" s="124"/>
      <c r="AB74" s="122"/>
      <c r="AC74" s="123"/>
      <c r="AD74" s="123"/>
      <c r="AE74" s="123"/>
      <c r="AF74" s="124"/>
      <c r="AG74" s="122"/>
      <c r="AH74" s="123"/>
      <c r="AI74" s="123"/>
      <c r="AJ74" s="123"/>
      <c r="AK74" s="124"/>
      <c r="AL74" s="122"/>
      <c r="AM74" s="123"/>
      <c r="AN74" s="123"/>
      <c r="AO74" s="124"/>
      <c r="AP74" s="122"/>
      <c r="AQ74" s="123"/>
      <c r="AR74" s="125"/>
    </row>
    <row r="75" spans="1:44" ht="48.75" customHeight="1" x14ac:dyDescent="0.25">
      <c r="A75" s="161"/>
      <c r="B75" s="447">
        <v>10.1</v>
      </c>
      <c r="C75" s="449" t="s">
        <v>239</v>
      </c>
      <c r="D75" s="451"/>
      <c r="E75" s="154" t="s">
        <v>240</v>
      </c>
      <c r="F75" s="251"/>
      <c r="G75" s="177"/>
      <c r="H75" s="178" t="s">
        <v>152</v>
      </c>
      <c r="I75" s="178" t="s">
        <v>152</v>
      </c>
      <c r="J75" s="186" t="s">
        <v>152</v>
      </c>
      <c r="K75" s="447" cm="1">
        <f t="array" ref="K75">SUMPRODUCT(IFERROR(VLOOKUP(N75:AR75,'Response Options'!$D$5:$E$10,2,FALSE),0))/COUNTA(N75:AR75)</f>
        <v>3.1111111111111112</v>
      </c>
      <c r="L75" s="447">
        <f t="shared" si="1"/>
        <v>3</v>
      </c>
      <c r="M75" s="443" t="str">
        <f>_xlfn.XLOOKUP(L75,'Response Options'!$E$5:$E$10,'Response Options'!$D$5:$D$10)</f>
        <v>Very Important</v>
      </c>
      <c r="N75" s="445"/>
      <c r="O75" s="435"/>
      <c r="P75" s="435" t="str">
        <f>'Outcome Priotization'!F14</f>
        <v>Critically Important / Essential</v>
      </c>
      <c r="Q75" s="435"/>
      <c r="R75" s="435" t="str">
        <f>'Outcome Priotization'!F16</f>
        <v>Critically Important / Essential</v>
      </c>
      <c r="S75" s="435"/>
      <c r="T75" s="435"/>
      <c r="U75" s="435"/>
      <c r="V75" s="441"/>
      <c r="W75" s="439" t="str">
        <f>'Outcome Priotization'!F21</f>
        <v>Extremely Important</v>
      </c>
      <c r="X75" s="435"/>
      <c r="Y75" s="435"/>
      <c r="Z75" s="435"/>
      <c r="AA75" s="441"/>
      <c r="AB75" s="439"/>
      <c r="AC75" s="435" t="str">
        <f>'Outcome Priotization'!F27</f>
        <v>Moderately Important</v>
      </c>
      <c r="AD75" s="435" t="str">
        <f>'Outcome Priotization'!F28</f>
        <v>Slightly unimportant</v>
      </c>
      <c r="AE75" s="435"/>
      <c r="AF75" s="441" t="str">
        <f>'Outcome Priotization'!F30</f>
        <v>Slightly important</v>
      </c>
      <c r="AG75" s="439" t="str">
        <f>'Outcome Priotization'!F31</f>
        <v>Critically Important / Essential</v>
      </c>
      <c r="AH75" s="435"/>
      <c r="AI75" s="435"/>
      <c r="AJ75" s="435"/>
      <c r="AK75" s="441"/>
      <c r="AL75" s="439" t="str">
        <f>'Outcome Priotization'!F36</f>
        <v>Moderately Important</v>
      </c>
      <c r="AM75" s="435" t="str">
        <f>'Outcome Priotization'!F37</f>
        <v>Extremely Important</v>
      </c>
      <c r="AN75" s="435"/>
      <c r="AO75" s="441"/>
      <c r="AP75" s="439"/>
      <c r="AQ75" s="435"/>
      <c r="AR75" s="437"/>
    </row>
    <row r="76" spans="1:44" ht="48.75" customHeight="1" x14ac:dyDescent="0.25">
      <c r="A76" s="161"/>
      <c r="B76" s="458"/>
      <c r="C76" s="459"/>
      <c r="D76" s="460"/>
      <c r="E76" s="150" t="s">
        <v>241</v>
      </c>
      <c r="F76" s="249"/>
      <c r="G76" s="180" t="s">
        <v>152</v>
      </c>
      <c r="H76" s="181" t="s">
        <v>152</v>
      </c>
      <c r="I76" s="181" t="s">
        <v>152</v>
      </c>
      <c r="J76" s="182" t="s">
        <v>152</v>
      </c>
      <c r="K76" s="458"/>
      <c r="L76" s="458"/>
      <c r="M76" s="457"/>
      <c r="N76" s="445"/>
      <c r="O76" s="435"/>
      <c r="P76" s="435"/>
      <c r="Q76" s="435"/>
      <c r="R76" s="435"/>
      <c r="S76" s="435"/>
      <c r="T76" s="435"/>
      <c r="U76" s="435"/>
      <c r="V76" s="441"/>
      <c r="W76" s="439"/>
      <c r="X76" s="435"/>
      <c r="Y76" s="435"/>
      <c r="Z76" s="435"/>
      <c r="AA76" s="441"/>
      <c r="AB76" s="439"/>
      <c r="AC76" s="435"/>
      <c r="AD76" s="435"/>
      <c r="AE76" s="435"/>
      <c r="AF76" s="441"/>
      <c r="AG76" s="439"/>
      <c r="AH76" s="435"/>
      <c r="AI76" s="435"/>
      <c r="AJ76" s="435"/>
      <c r="AK76" s="441"/>
      <c r="AL76" s="439"/>
      <c r="AM76" s="435"/>
      <c r="AN76" s="435"/>
      <c r="AO76" s="441"/>
      <c r="AP76" s="439"/>
      <c r="AQ76" s="435"/>
      <c r="AR76" s="437"/>
    </row>
    <row r="77" spans="1:44" ht="48.75" customHeight="1" x14ac:dyDescent="0.25">
      <c r="A77" s="161"/>
      <c r="B77" s="453"/>
      <c r="C77" s="454"/>
      <c r="D77" s="455"/>
      <c r="E77" s="150" t="s">
        <v>242</v>
      </c>
      <c r="F77" s="249"/>
      <c r="G77" s="180" t="s">
        <v>152</v>
      </c>
      <c r="H77" s="181" t="s">
        <v>152</v>
      </c>
      <c r="I77" s="181" t="s">
        <v>152</v>
      </c>
      <c r="J77" s="182" t="s">
        <v>152</v>
      </c>
      <c r="K77" s="453"/>
      <c r="L77" s="453"/>
      <c r="M77" s="456"/>
      <c r="N77" s="445"/>
      <c r="O77" s="435"/>
      <c r="P77" s="435"/>
      <c r="Q77" s="435"/>
      <c r="R77" s="435"/>
      <c r="S77" s="435"/>
      <c r="T77" s="435"/>
      <c r="U77" s="435"/>
      <c r="V77" s="441"/>
      <c r="W77" s="439"/>
      <c r="X77" s="435"/>
      <c r="Y77" s="435"/>
      <c r="Z77" s="435"/>
      <c r="AA77" s="441"/>
      <c r="AB77" s="439"/>
      <c r="AC77" s="435"/>
      <c r="AD77" s="435"/>
      <c r="AE77" s="435"/>
      <c r="AF77" s="441"/>
      <c r="AG77" s="439"/>
      <c r="AH77" s="435"/>
      <c r="AI77" s="435"/>
      <c r="AJ77" s="435"/>
      <c r="AK77" s="441"/>
      <c r="AL77" s="439"/>
      <c r="AM77" s="435"/>
      <c r="AN77" s="435"/>
      <c r="AO77" s="441"/>
      <c r="AP77" s="439"/>
      <c r="AQ77" s="435"/>
      <c r="AR77" s="437"/>
    </row>
    <row r="78" spans="1:44" ht="42.75" customHeight="1" x14ac:dyDescent="0.25">
      <c r="A78" s="161"/>
      <c r="B78" s="447">
        <v>10.199999999999999</v>
      </c>
      <c r="C78" s="449" t="s">
        <v>243</v>
      </c>
      <c r="D78" s="451"/>
      <c r="E78" s="154" t="s">
        <v>244</v>
      </c>
      <c r="F78" s="251"/>
      <c r="G78" s="177" t="s">
        <v>152</v>
      </c>
      <c r="H78" s="178" t="s">
        <v>152</v>
      </c>
      <c r="I78" s="178" t="s">
        <v>152</v>
      </c>
      <c r="J78" s="186"/>
      <c r="K78" s="447" cm="1">
        <f t="array" ref="K78">SUMPRODUCT(IFERROR(VLOOKUP(N78:AR78,'Response Options'!$D$5:$E$10,2,FALSE),0))/COUNTA(N78:AR78)</f>
        <v>3.6</v>
      </c>
      <c r="L78" s="447">
        <f t="shared" si="1"/>
        <v>4</v>
      </c>
      <c r="M78" s="443" t="str">
        <f>_xlfn.XLOOKUP(L78,'Response Options'!$E$5:$E$10,'Response Options'!$D$5:$D$10)</f>
        <v>Extremely Important</v>
      </c>
      <c r="N78" s="445" t="str">
        <f>'Outcome Priotization'!$F$12</f>
        <v>Critically Important / Essential</v>
      </c>
      <c r="O78" s="435" t="str">
        <f>'Outcome Priotization'!F13</f>
        <v>Moderately Important</v>
      </c>
      <c r="P78" s="435" t="str">
        <f>'Outcome Priotization'!F14</f>
        <v>Critically Important / Essential</v>
      </c>
      <c r="Q78" s="435" t="str">
        <f>'Outcome Priotization'!F15</f>
        <v>Slightly important</v>
      </c>
      <c r="R78" s="435"/>
      <c r="S78" s="435" t="str">
        <f>'Outcome Priotization'!F17</f>
        <v>Very Important</v>
      </c>
      <c r="T78" s="435"/>
      <c r="U78" s="435" t="str">
        <f>'Outcome Priotization'!F19</f>
        <v>Critically Important / Essential</v>
      </c>
      <c r="V78" s="441" t="str">
        <f>'Outcome Priotization'!F20</f>
        <v>Critically Important / Essential</v>
      </c>
      <c r="W78" s="439" t="str">
        <f>'Outcome Priotization'!F21</f>
        <v>Extremely Important</v>
      </c>
      <c r="X78" s="435"/>
      <c r="Y78" s="435"/>
      <c r="Z78" s="435"/>
      <c r="AA78" s="441" t="str">
        <f>'Outcome Priotization'!F25</f>
        <v>Critically Important / Essential</v>
      </c>
      <c r="AB78" s="439"/>
      <c r="AC78" s="435"/>
      <c r="AD78" s="461"/>
      <c r="AE78" s="435"/>
      <c r="AF78" s="441"/>
      <c r="AG78" s="439" t="str">
        <f>'Outcome Priotization'!F31</f>
        <v>Critically Important / Essential</v>
      </c>
      <c r="AH78" s="435" t="str">
        <f>'Outcome Priotization'!F32</f>
        <v>Very Important</v>
      </c>
      <c r="AI78" s="435"/>
      <c r="AJ78" s="435"/>
      <c r="AK78" s="441"/>
      <c r="AL78" s="439"/>
      <c r="AM78" s="435" t="str">
        <f>'Outcome Priotization'!F37</f>
        <v>Extremely Important</v>
      </c>
      <c r="AN78" s="435"/>
      <c r="AO78" s="441" t="str">
        <f>'Outcome Priotization'!F39</f>
        <v>Slightly unimportant</v>
      </c>
      <c r="AP78" s="439"/>
      <c r="AQ78" s="435" t="str">
        <f>'Outcome Priotization'!F41</f>
        <v>Critically Important / Essential</v>
      </c>
      <c r="AR78" s="437" t="str">
        <f>'Outcome Priotization'!F42</f>
        <v>Moderately Important</v>
      </c>
    </row>
    <row r="79" spans="1:44" ht="42.75" customHeight="1" x14ac:dyDescent="0.25">
      <c r="A79" s="161"/>
      <c r="B79" s="458"/>
      <c r="C79" s="459"/>
      <c r="D79" s="460"/>
      <c r="E79" s="150" t="s">
        <v>245</v>
      </c>
      <c r="F79" s="249"/>
      <c r="G79" s="180" t="s">
        <v>152</v>
      </c>
      <c r="H79" s="181" t="s">
        <v>152</v>
      </c>
      <c r="I79" s="181" t="s">
        <v>152</v>
      </c>
      <c r="J79" s="182"/>
      <c r="K79" s="458"/>
      <c r="L79" s="458"/>
      <c r="M79" s="457"/>
      <c r="N79" s="445"/>
      <c r="O79" s="435"/>
      <c r="P79" s="435"/>
      <c r="Q79" s="435"/>
      <c r="R79" s="435"/>
      <c r="S79" s="435"/>
      <c r="T79" s="435"/>
      <c r="U79" s="435"/>
      <c r="V79" s="441"/>
      <c r="W79" s="439"/>
      <c r="X79" s="435"/>
      <c r="Y79" s="435"/>
      <c r="Z79" s="435"/>
      <c r="AA79" s="441"/>
      <c r="AB79" s="439"/>
      <c r="AC79" s="435"/>
      <c r="AD79" s="461"/>
      <c r="AE79" s="435"/>
      <c r="AF79" s="441"/>
      <c r="AG79" s="439"/>
      <c r="AH79" s="435"/>
      <c r="AI79" s="435"/>
      <c r="AJ79" s="435"/>
      <c r="AK79" s="441"/>
      <c r="AL79" s="439"/>
      <c r="AM79" s="435"/>
      <c r="AN79" s="435"/>
      <c r="AO79" s="441"/>
      <c r="AP79" s="439"/>
      <c r="AQ79" s="435"/>
      <c r="AR79" s="437"/>
    </row>
    <row r="80" spans="1:44" ht="42.75" customHeight="1" x14ac:dyDescent="0.25">
      <c r="A80" s="161"/>
      <c r="B80" s="453"/>
      <c r="C80" s="454"/>
      <c r="D80" s="455"/>
      <c r="E80" s="150" t="s">
        <v>246</v>
      </c>
      <c r="F80" s="249"/>
      <c r="G80" s="180" t="s">
        <v>152</v>
      </c>
      <c r="H80" s="181" t="s">
        <v>152</v>
      </c>
      <c r="I80" s="181" t="s">
        <v>152</v>
      </c>
      <c r="J80" s="182" t="s">
        <v>152</v>
      </c>
      <c r="K80" s="453"/>
      <c r="L80" s="453"/>
      <c r="M80" s="456"/>
      <c r="N80" s="445"/>
      <c r="O80" s="435"/>
      <c r="P80" s="435"/>
      <c r="Q80" s="435"/>
      <c r="R80" s="435"/>
      <c r="S80" s="435"/>
      <c r="T80" s="435"/>
      <c r="U80" s="435"/>
      <c r="V80" s="441"/>
      <c r="W80" s="439"/>
      <c r="X80" s="435"/>
      <c r="Y80" s="435"/>
      <c r="Z80" s="435"/>
      <c r="AA80" s="441"/>
      <c r="AB80" s="439"/>
      <c r="AC80" s="435"/>
      <c r="AD80" s="461"/>
      <c r="AE80" s="435"/>
      <c r="AF80" s="441"/>
      <c r="AG80" s="439"/>
      <c r="AH80" s="435"/>
      <c r="AI80" s="435"/>
      <c r="AJ80" s="435"/>
      <c r="AK80" s="441"/>
      <c r="AL80" s="439"/>
      <c r="AM80" s="435"/>
      <c r="AN80" s="435"/>
      <c r="AO80" s="441"/>
      <c r="AP80" s="439"/>
      <c r="AQ80" s="435"/>
      <c r="AR80" s="437"/>
    </row>
    <row r="81" spans="1:44" ht="44.25" customHeight="1" x14ac:dyDescent="0.25">
      <c r="A81" s="161"/>
      <c r="B81" s="447">
        <v>10.3</v>
      </c>
      <c r="C81" s="449" t="s">
        <v>247</v>
      </c>
      <c r="D81" s="451"/>
      <c r="E81" s="154" t="s">
        <v>248</v>
      </c>
      <c r="F81" s="251"/>
      <c r="G81" s="177" t="s">
        <v>152</v>
      </c>
      <c r="H81" s="178" t="s">
        <v>152</v>
      </c>
      <c r="I81" s="178" t="s">
        <v>152</v>
      </c>
      <c r="J81" s="186" t="s">
        <v>152</v>
      </c>
      <c r="K81" s="447" cm="1">
        <f t="array" ref="K81">SUMPRODUCT(IFERROR(VLOOKUP(N81:AR81,'Response Options'!$D$5:$E$10,2,FALSE),0))/COUNTA(N81:AR81)</f>
        <v>4</v>
      </c>
      <c r="L81" s="447">
        <f t="shared" si="1"/>
        <v>4</v>
      </c>
      <c r="M81" s="443" t="str">
        <f>_xlfn.XLOOKUP(L81,'Response Options'!$E$5:$E$10,'Response Options'!$D$5:$D$10)</f>
        <v>Extremely Important</v>
      </c>
      <c r="N81" s="445" t="str">
        <f>'Outcome Priotization'!$F$12</f>
        <v>Critically Important / Essential</v>
      </c>
      <c r="O81" s="435" t="str">
        <f>'Outcome Priotization'!F13</f>
        <v>Moderately Important</v>
      </c>
      <c r="P81" s="435"/>
      <c r="Q81" s="435"/>
      <c r="R81" s="435"/>
      <c r="S81" s="435" t="str">
        <f>'Outcome Priotization'!F17</f>
        <v>Very Important</v>
      </c>
      <c r="T81" s="435" t="str">
        <f>'Outcome Priotization'!F18</f>
        <v>Critically Important / Essential</v>
      </c>
      <c r="U81" s="435" t="str">
        <f>'Outcome Priotization'!F19</f>
        <v>Critically Important / Essential</v>
      </c>
      <c r="V81" s="441"/>
      <c r="W81" s="439"/>
      <c r="X81" s="435"/>
      <c r="Y81" s="435"/>
      <c r="Z81" s="435"/>
      <c r="AA81" s="441"/>
      <c r="AB81" s="439"/>
      <c r="AC81" s="435"/>
      <c r="AD81" s="435"/>
      <c r="AE81" s="435"/>
      <c r="AF81" s="441"/>
      <c r="AG81" s="439" t="str">
        <f>'Outcome Priotization'!F31</f>
        <v>Critically Important / Essential</v>
      </c>
      <c r="AH81" s="435" t="str">
        <f>'Outcome Priotization'!F32</f>
        <v>Very Important</v>
      </c>
      <c r="AI81" s="435" t="str">
        <f>'Outcome Priotization'!F33</f>
        <v>Critically Important / Essential</v>
      </c>
      <c r="AJ81" s="435"/>
      <c r="AK81" s="441"/>
      <c r="AL81" s="439"/>
      <c r="AM81" s="435" t="str">
        <f>'Outcome Priotization'!F37</f>
        <v>Extremely Important</v>
      </c>
      <c r="AN81" s="435"/>
      <c r="AO81" s="441"/>
      <c r="AP81" s="439" t="str">
        <f>'Outcome Priotization'!F40</f>
        <v>Critically Important / Essential</v>
      </c>
      <c r="AQ81" s="435"/>
      <c r="AR81" s="437" t="str">
        <f>'Outcome Priotization'!F42</f>
        <v>Moderately Important</v>
      </c>
    </row>
    <row r="82" spans="1:44" ht="44.25" customHeight="1" x14ac:dyDescent="0.25">
      <c r="A82" s="161"/>
      <c r="B82" s="458"/>
      <c r="C82" s="459"/>
      <c r="D82" s="460"/>
      <c r="E82" s="150" t="s">
        <v>249</v>
      </c>
      <c r="F82" s="249"/>
      <c r="G82" s="180" t="s">
        <v>152</v>
      </c>
      <c r="H82" s="181" t="s">
        <v>152</v>
      </c>
      <c r="I82" s="181" t="s">
        <v>152</v>
      </c>
      <c r="J82" s="182" t="s">
        <v>152</v>
      </c>
      <c r="K82" s="458"/>
      <c r="L82" s="458"/>
      <c r="M82" s="457"/>
      <c r="N82" s="445"/>
      <c r="O82" s="435"/>
      <c r="P82" s="435"/>
      <c r="Q82" s="435"/>
      <c r="R82" s="435"/>
      <c r="S82" s="435"/>
      <c r="T82" s="435"/>
      <c r="U82" s="435"/>
      <c r="V82" s="441"/>
      <c r="W82" s="439"/>
      <c r="X82" s="435"/>
      <c r="Y82" s="435"/>
      <c r="Z82" s="435"/>
      <c r="AA82" s="441"/>
      <c r="AB82" s="439"/>
      <c r="AC82" s="435"/>
      <c r="AD82" s="435"/>
      <c r="AE82" s="435"/>
      <c r="AF82" s="441"/>
      <c r="AG82" s="439"/>
      <c r="AH82" s="435"/>
      <c r="AI82" s="435"/>
      <c r="AJ82" s="435"/>
      <c r="AK82" s="441"/>
      <c r="AL82" s="439"/>
      <c r="AM82" s="435"/>
      <c r="AN82" s="435"/>
      <c r="AO82" s="441"/>
      <c r="AP82" s="439"/>
      <c r="AQ82" s="435"/>
      <c r="AR82" s="437"/>
    </row>
    <row r="83" spans="1:44" ht="44.25" customHeight="1" x14ac:dyDescent="0.25">
      <c r="A83" s="161"/>
      <c r="B83" s="458"/>
      <c r="C83" s="459"/>
      <c r="D83" s="460"/>
      <c r="E83" s="150" t="s">
        <v>250</v>
      </c>
      <c r="F83" s="249"/>
      <c r="G83" s="180" t="s">
        <v>152</v>
      </c>
      <c r="H83" s="181" t="s">
        <v>152</v>
      </c>
      <c r="I83" s="181" t="s">
        <v>152</v>
      </c>
      <c r="J83" s="182" t="s">
        <v>152</v>
      </c>
      <c r="K83" s="458"/>
      <c r="L83" s="458"/>
      <c r="M83" s="457"/>
      <c r="N83" s="445"/>
      <c r="O83" s="435"/>
      <c r="P83" s="435"/>
      <c r="Q83" s="435"/>
      <c r="R83" s="435"/>
      <c r="S83" s="435"/>
      <c r="T83" s="435"/>
      <c r="U83" s="435"/>
      <c r="V83" s="441"/>
      <c r="W83" s="439"/>
      <c r="X83" s="435"/>
      <c r="Y83" s="435"/>
      <c r="Z83" s="435"/>
      <c r="AA83" s="441"/>
      <c r="AB83" s="439"/>
      <c r="AC83" s="435"/>
      <c r="AD83" s="435"/>
      <c r="AE83" s="435"/>
      <c r="AF83" s="441"/>
      <c r="AG83" s="439"/>
      <c r="AH83" s="435"/>
      <c r="AI83" s="435"/>
      <c r="AJ83" s="435"/>
      <c r="AK83" s="441"/>
      <c r="AL83" s="439"/>
      <c r="AM83" s="435"/>
      <c r="AN83" s="435"/>
      <c r="AO83" s="441"/>
      <c r="AP83" s="439"/>
      <c r="AQ83" s="435"/>
      <c r="AR83" s="437"/>
    </row>
    <row r="84" spans="1:44" ht="44.25" customHeight="1" x14ac:dyDescent="0.25">
      <c r="A84" s="161"/>
      <c r="B84" s="453"/>
      <c r="C84" s="454"/>
      <c r="D84" s="455"/>
      <c r="E84" s="150" t="s">
        <v>251</v>
      </c>
      <c r="F84" s="249"/>
      <c r="G84" s="180" t="s">
        <v>152</v>
      </c>
      <c r="H84" s="181" t="s">
        <v>152</v>
      </c>
      <c r="I84" s="181" t="s">
        <v>152</v>
      </c>
      <c r="J84" s="182" t="s">
        <v>152</v>
      </c>
      <c r="K84" s="453"/>
      <c r="L84" s="453"/>
      <c r="M84" s="456"/>
      <c r="N84" s="445"/>
      <c r="O84" s="435"/>
      <c r="P84" s="435"/>
      <c r="Q84" s="435"/>
      <c r="R84" s="435"/>
      <c r="S84" s="435"/>
      <c r="T84" s="435"/>
      <c r="U84" s="435"/>
      <c r="V84" s="441"/>
      <c r="W84" s="439"/>
      <c r="X84" s="435"/>
      <c r="Y84" s="435"/>
      <c r="Z84" s="435"/>
      <c r="AA84" s="441"/>
      <c r="AB84" s="439"/>
      <c r="AC84" s="435"/>
      <c r="AD84" s="435"/>
      <c r="AE84" s="435"/>
      <c r="AF84" s="441"/>
      <c r="AG84" s="439"/>
      <c r="AH84" s="435"/>
      <c r="AI84" s="435"/>
      <c r="AJ84" s="435"/>
      <c r="AK84" s="441"/>
      <c r="AL84" s="439"/>
      <c r="AM84" s="435"/>
      <c r="AN84" s="435"/>
      <c r="AO84" s="441"/>
      <c r="AP84" s="439"/>
      <c r="AQ84" s="435"/>
      <c r="AR84" s="437"/>
    </row>
    <row r="85" spans="1:44" ht="46.5" customHeight="1" x14ac:dyDescent="0.25">
      <c r="A85" s="161"/>
      <c r="B85" s="447">
        <v>10.4</v>
      </c>
      <c r="C85" s="449" t="s">
        <v>252</v>
      </c>
      <c r="D85" s="451"/>
      <c r="E85" s="154" t="s">
        <v>253</v>
      </c>
      <c r="F85" s="251"/>
      <c r="G85" s="177" t="s">
        <v>152</v>
      </c>
      <c r="H85" s="178" t="s">
        <v>152</v>
      </c>
      <c r="I85" s="178" t="s">
        <v>152</v>
      </c>
      <c r="J85" s="186" t="s">
        <v>152</v>
      </c>
      <c r="K85" s="447" cm="1">
        <f t="array" ref="K85">SUMPRODUCT(IFERROR(VLOOKUP(N85:AR85,'Response Options'!$D$5:$E$10,2,FALSE),0))/COUNTA(N85:AR85)</f>
        <v>3</v>
      </c>
      <c r="L85" s="447">
        <f t="shared" si="1"/>
        <v>3</v>
      </c>
      <c r="M85" s="443" t="str">
        <f>_xlfn.XLOOKUP(L85,'Response Options'!$E$5:$E$10,'Response Options'!$D$5:$D$10)</f>
        <v>Very Important</v>
      </c>
      <c r="N85" s="445"/>
      <c r="O85" s="435"/>
      <c r="P85" s="435"/>
      <c r="Q85" s="435"/>
      <c r="R85" s="435"/>
      <c r="S85" s="435"/>
      <c r="T85" s="435"/>
      <c r="U85" s="435"/>
      <c r="V85" s="441"/>
      <c r="W85" s="439"/>
      <c r="X85" s="435"/>
      <c r="Y85" s="435"/>
      <c r="Z85" s="435"/>
      <c r="AA85" s="441"/>
      <c r="AB85" s="439"/>
      <c r="AC85" s="435"/>
      <c r="AD85" s="435"/>
      <c r="AE85" s="435"/>
      <c r="AF85" s="441" t="str">
        <f>'Outcome Priotization'!F30</f>
        <v>Slightly important</v>
      </c>
      <c r="AG85" s="439" t="str">
        <f>'Outcome Priotization'!F31</f>
        <v>Critically Important / Essential</v>
      </c>
      <c r="AH85" s="435" t="str">
        <f>'Outcome Priotization'!F32</f>
        <v>Very Important</v>
      </c>
      <c r="AI85" s="435"/>
      <c r="AJ85" s="435"/>
      <c r="AK85" s="441"/>
      <c r="AL85" s="439" t="str">
        <f>'Outcome Priotization'!F36</f>
        <v>Moderately Important</v>
      </c>
      <c r="AM85" s="435" t="str">
        <f>'Outcome Priotization'!F37</f>
        <v>Extremely Important</v>
      </c>
      <c r="AN85" s="435"/>
      <c r="AO85" s="441"/>
      <c r="AP85" s="439"/>
      <c r="AQ85" s="435"/>
      <c r="AR85" s="437"/>
    </row>
    <row r="86" spans="1:44" ht="46.5" customHeight="1" x14ac:dyDescent="0.25">
      <c r="A86" s="161"/>
      <c r="B86" s="458"/>
      <c r="C86" s="459"/>
      <c r="D86" s="460"/>
      <c r="E86" s="150" t="s">
        <v>254</v>
      </c>
      <c r="F86" s="249"/>
      <c r="G86" s="180" t="s">
        <v>152</v>
      </c>
      <c r="H86" s="181" t="s">
        <v>152</v>
      </c>
      <c r="I86" s="181" t="s">
        <v>152</v>
      </c>
      <c r="J86" s="182" t="s">
        <v>152</v>
      </c>
      <c r="K86" s="458"/>
      <c r="L86" s="458"/>
      <c r="M86" s="457"/>
      <c r="N86" s="445"/>
      <c r="O86" s="435"/>
      <c r="P86" s="435"/>
      <c r="Q86" s="435"/>
      <c r="R86" s="435"/>
      <c r="S86" s="435"/>
      <c r="T86" s="435"/>
      <c r="U86" s="435"/>
      <c r="V86" s="441"/>
      <c r="W86" s="439"/>
      <c r="X86" s="435"/>
      <c r="Y86" s="435"/>
      <c r="Z86" s="435"/>
      <c r="AA86" s="441"/>
      <c r="AB86" s="439"/>
      <c r="AC86" s="435"/>
      <c r="AD86" s="435"/>
      <c r="AE86" s="435"/>
      <c r="AF86" s="441"/>
      <c r="AG86" s="439"/>
      <c r="AH86" s="435"/>
      <c r="AI86" s="435"/>
      <c r="AJ86" s="435"/>
      <c r="AK86" s="441"/>
      <c r="AL86" s="439"/>
      <c r="AM86" s="435"/>
      <c r="AN86" s="435"/>
      <c r="AO86" s="441"/>
      <c r="AP86" s="439"/>
      <c r="AQ86" s="435"/>
      <c r="AR86" s="437"/>
    </row>
    <row r="87" spans="1:44" ht="46.5" customHeight="1" x14ac:dyDescent="0.25">
      <c r="A87" s="161"/>
      <c r="B87" s="453"/>
      <c r="C87" s="454"/>
      <c r="D87" s="455"/>
      <c r="E87" s="150" t="s">
        <v>255</v>
      </c>
      <c r="F87" s="249"/>
      <c r="G87" s="180" t="s">
        <v>152</v>
      </c>
      <c r="H87" s="181" t="s">
        <v>152</v>
      </c>
      <c r="I87" s="181" t="s">
        <v>152</v>
      </c>
      <c r="J87" s="182" t="s">
        <v>152</v>
      </c>
      <c r="K87" s="453"/>
      <c r="L87" s="453"/>
      <c r="M87" s="456"/>
      <c r="N87" s="445"/>
      <c r="O87" s="435"/>
      <c r="P87" s="435"/>
      <c r="Q87" s="435"/>
      <c r="R87" s="435"/>
      <c r="S87" s="435"/>
      <c r="T87" s="435"/>
      <c r="U87" s="435"/>
      <c r="V87" s="441"/>
      <c r="W87" s="439"/>
      <c r="X87" s="435"/>
      <c r="Y87" s="435"/>
      <c r="Z87" s="435"/>
      <c r="AA87" s="441"/>
      <c r="AB87" s="439"/>
      <c r="AC87" s="435"/>
      <c r="AD87" s="435"/>
      <c r="AE87" s="435"/>
      <c r="AF87" s="441"/>
      <c r="AG87" s="439"/>
      <c r="AH87" s="435"/>
      <c r="AI87" s="435"/>
      <c r="AJ87" s="435"/>
      <c r="AK87" s="441"/>
      <c r="AL87" s="439"/>
      <c r="AM87" s="435"/>
      <c r="AN87" s="435"/>
      <c r="AO87" s="441"/>
      <c r="AP87" s="439"/>
      <c r="AQ87" s="435"/>
      <c r="AR87" s="437"/>
    </row>
    <row r="88" spans="1:44" ht="32.25" customHeight="1" x14ac:dyDescent="0.25">
      <c r="A88" s="161"/>
      <c r="B88" s="202">
        <v>10.5</v>
      </c>
      <c r="C88" s="203" t="s">
        <v>256</v>
      </c>
      <c r="D88" s="242"/>
      <c r="E88" s="154" t="s">
        <v>257</v>
      </c>
      <c r="F88" s="251"/>
      <c r="G88" s="177" t="s">
        <v>152</v>
      </c>
      <c r="H88" s="178" t="s">
        <v>152</v>
      </c>
      <c r="I88" s="178" t="s">
        <v>152</v>
      </c>
      <c r="J88" s="186" t="s">
        <v>152</v>
      </c>
      <c r="K88" s="134" cm="1">
        <f t="array" ref="K88">SUMPRODUCT(IFERROR(VLOOKUP(N88:AR88,'Response Options'!$D$5:$E$10,2,FALSE),0))/COUNTA(N88:AR88)</f>
        <v>3.5652173913043477</v>
      </c>
      <c r="L88" s="134">
        <f t="shared" si="1"/>
        <v>4</v>
      </c>
      <c r="M88" s="149" t="str">
        <f>_xlfn.XLOOKUP(L88,'Response Options'!$E$5:$E$10,'Response Options'!$D$5:$D$10)</f>
        <v>Extremely Important</v>
      </c>
      <c r="N88" s="199" t="str">
        <f>'Outcome Priotization'!$F$12</f>
        <v>Critically Important / Essential</v>
      </c>
      <c r="O88" s="197" t="str">
        <f>'Outcome Priotization'!F13</f>
        <v>Moderately Important</v>
      </c>
      <c r="P88" s="197" t="str">
        <f>'Outcome Priotization'!F14</f>
        <v>Critically Important / Essential</v>
      </c>
      <c r="Q88" s="197" t="str">
        <f>'Outcome Priotization'!F15</f>
        <v>Slightly important</v>
      </c>
      <c r="R88" s="197" t="str">
        <f>'Outcome Priotization'!F16</f>
        <v>Critically Important / Essential</v>
      </c>
      <c r="S88" s="197" t="str">
        <f>'Outcome Priotization'!F17</f>
        <v>Very Important</v>
      </c>
      <c r="T88" s="197"/>
      <c r="U88" s="197" t="str">
        <f>'Outcome Priotization'!F19</f>
        <v>Critically Important / Essential</v>
      </c>
      <c r="V88" s="200" t="str">
        <f>'Outcome Priotization'!F20</f>
        <v>Critically Important / Essential</v>
      </c>
      <c r="W88" s="199" t="str">
        <f>'Outcome Priotization'!F21</f>
        <v>Extremely Important</v>
      </c>
      <c r="X88" s="197" t="str">
        <f>'Outcome Priotization'!F22</f>
        <v>Slightly unimportant</v>
      </c>
      <c r="Y88" s="197"/>
      <c r="Z88" s="197" t="str">
        <f>'Outcome Priotization'!F24</f>
        <v>Critically Important / Essential</v>
      </c>
      <c r="AA88" s="200" t="str">
        <f>'Outcome Priotization'!F25</f>
        <v>Critically Important / Essential</v>
      </c>
      <c r="AB88" s="199"/>
      <c r="AC88" s="197"/>
      <c r="AD88" s="197"/>
      <c r="AE88" s="197"/>
      <c r="AF88" s="200" t="str">
        <f>'Outcome Priotization'!F30</f>
        <v>Slightly important</v>
      </c>
      <c r="AG88" s="199" t="str">
        <f>'Outcome Priotization'!F31</f>
        <v>Critically Important / Essential</v>
      </c>
      <c r="AH88" s="197" t="str">
        <f>'Outcome Priotization'!F32</f>
        <v>Very Important</v>
      </c>
      <c r="AI88" s="197" t="str">
        <f>'Outcome Priotization'!F33</f>
        <v>Critically Important / Essential</v>
      </c>
      <c r="AJ88" s="197" t="str">
        <f>'Outcome Priotization'!F34</f>
        <v>Critically Important / Essential</v>
      </c>
      <c r="AK88" s="200"/>
      <c r="AL88" s="199" t="str">
        <f>'Outcome Priotization'!F36</f>
        <v>Moderately Important</v>
      </c>
      <c r="AM88" s="197" t="str">
        <f>'Outcome Priotization'!F37</f>
        <v>Extremely Important</v>
      </c>
      <c r="AN88" s="197"/>
      <c r="AO88" s="200" t="str">
        <f>'Outcome Priotization'!F39</f>
        <v>Slightly unimportant</v>
      </c>
      <c r="AP88" s="199" t="str">
        <f>'Outcome Priotization'!F40</f>
        <v>Critically Important / Essential</v>
      </c>
      <c r="AQ88" s="197" t="str">
        <f>'Outcome Priotization'!F41</f>
        <v>Critically Important / Essential</v>
      </c>
      <c r="AR88" s="198" t="str">
        <f>'Outcome Priotization'!F42</f>
        <v>Moderately Important</v>
      </c>
    </row>
    <row r="89" spans="1:44" ht="51" customHeight="1" x14ac:dyDescent="0.25">
      <c r="A89" s="161"/>
      <c r="B89" s="202">
        <v>10.6</v>
      </c>
      <c r="C89" s="203" t="s">
        <v>258</v>
      </c>
      <c r="D89" s="242"/>
      <c r="E89" s="154" t="s">
        <v>259</v>
      </c>
      <c r="F89" s="251"/>
      <c r="G89" s="177" t="s">
        <v>152</v>
      </c>
      <c r="H89" s="178" t="s">
        <v>152</v>
      </c>
      <c r="I89" s="178" t="s">
        <v>152</v>
      </c>
      <c r="J89" s="186" t="s">
        <v>152</v>
      </c>
      <c r="K89" s="134" cm="1">
        <f t="array" ref="K89">SUMPRODUCT(IFERROR(VLOOKUP(N89:AR89,'Response Options'!$D$5:$E$10,2,FALSE),0))/COUNTA(N89:AR89)</f>
        <v>3.8</v>
      </c>
      <c r="L89" s="134">
        <f t="shared" si="1"/>
        <v>4</v>
      </c>
      <c r="M89" s="149" t="str">
        <f>_xlfn.XLOOKUP(L89,'Response Options'!$E$5:$E$10,'Response Options'!$D$5:$D$10)</f>
        <v>Extremely Important</v>
      </c>
      <c r="N89" s="199"/>
      <c r="O89" s="197"/>
      <c r="P89" s="197"/>
      <c r="Q89" s="197"/>
      <c r="R89" s="197"/>
      <c r="S89" s="197"/>
      <c r="T89" s="197"/>
      <c r="U89" s="197" t="str">
        <f>'Outcome Priotization'!F19</f>
        <v>Critically Important / Essential</v>
      </c>
      <c r="V89" s="200"/>
      <c r="W89" s="199"/>
      <c r="X89" s="197"/>
      <c r="Y89" s="197"/>
      <c r="Z89" s="197"/>
      <c r="AA89" s="200" t="str">
        <f>'Outcome Priotization'!F25</f>
        <v>Critically Important / Essential</v>
      </c>
      <c r="AB89" s="199"/>
      <c r="AC89" s="197"/>
      <c r="AD89" s="197"/>
      <c r="AE89" s="197"/>
      <c r="AF89" s="200" t="str">
        <f>'Outcome Priotization'!F30</f>
        <v>Slightly important</v>
      </c>
      <c r="AG89" s="199" t="str">
        <f>'Outcome Priotization'!F31</f>
        <v>Critically Important / Essential</v>
      </c>
      <c r="AH89" s="197" t="str">
        <f>'Outcome Priotization'!F32</f>
        <v>Very Important</v>
      </c>
      <c r="AI89" s="197" t="str">
        <f>'Outcome Priotization'!F33</f>
        <v>Critically Important / Essential</v>
      </c>
      <c r="AJ89" s="197"/>
      <c r="AK89" s="200"/>
      <c r="AL89" s="199" t="str">
        <f>'Outcome Priotization'!F36</f>
        <v>Moderately Important</v>
      </c>
      <c r="AM89" s="197" t="str">
        <f>'Outcome Priotization'!F37</f>
        <v>Extremely Important</v>
      </c>
      <c r="AN89" s="197" t="str">
        <f>'Outcome Priotization'!F38</f>
        <v>Very Important</v>
      </c>
      <c r="AO89" s="200"/>
      <c r="AP89" s="199"/>
      <c r="AQ89" s="197" t="str">
        <f>'Outcome Priotization'!F41</f>
        <v>Critically Important / Essential</v>
      </c>
      <c r="AR89" s="198"/>
    </row>
    <row r="90" spans="1:44" ht="32.25" customHeight="1" x14ac:dyDescent="0.25">
      <c r="A90" s="161"/>
      <c r="B90" s="202">
        <v>10.7</v>
      </c>
      <c r="C90" s="203" t="s">
        <v>260</v>
      </c>
      <c r="D90" s="242"/>
      <c r="E90" s="154" t="s">
        <v>261</v>
      </c>
      <c r="F90" s="251"/>
      <c r="G90" s="177" t="s">
        <v>152</v>
      </c>
      <c r="H90" s="178" t="s">
        <v>152</v>
      </c>
      <c r="I90" s="178" t="s">
        <v>152</v>
      </c>
      <c r="J90" s="186" t="s">
        <v>152</v>
      </c>
      <c r="K90" s="202" cm="1">
        <f t="array" ref="K90">SUMPRODUCT(IFERROR(VLOOKUP(N90:AR90,'Response Options'!$D$5:$E$10,2,FALSE),0))/COUNTA(N90:AR90)</f>
        <v>3.7142857142857144</v>
      </c>
      <c r="L90" s="202">
        <f t="shared" si="1"/>
        <v>4</v>
      </c>
      <c r="M90" s="149" t="str">
        <f>_xlfn.XLOOKUP(L90,'Response Options'!$E$5:$E$10,'Response Options'!$D$5:$D$10)</f>
        <v>Extremely Important</v>
      </c>
      <c r="N90" s="199"/>
      <c r="O90" s="197" t="str">
        <f>'Outcome Priotization'!F13</f>
        <v>Moderately Important</v>
      </c>
      <c r="P90" s="197" t="str">
        <f>'Outcome Priotization'!F14</f>
        <v>Critically Important / Essential</v>
      </c>
      <c r="Q90" s="197"/>
      <c r="R90" s="197" t="str">
        <f>'Outcome Priotization'!F16</f>
        <v>Critically Important / Essential</v>
      </c>
      <c r="S90" s="197" t="str">
        <f>'Outcome Priotization'!F17</f>
        <v>Very Important</v>
      </c>
      <c r="T90" s="197" t="str">
        <f>'Outcome Priotization'!F18</f>
        <v>Critically Important / Essential</v>
      </c>
      <c r="U90" s="197" t="str">
        <f>'Outcome Priotization'!F19</f>
        <v>Critically Important / Essential</v>
      </c>
      <c r="V90" s="200"/>
      <c r="W90" s="199" t="str">
        <f>'Outcome Priotization'!F21</f>
        <v>Extremely Important</v>
      </c>
      <c r="X90" s="197" t="str">
        <f>'Outcome Priotization'!F22</f>
        <v>Slightly unimportant</v>
      </c>
      <c r="Y90" s="197"/>
      <c r="Z90" s="197" t="str">
        <f>'Outcome Priotization'!F24</f>
        <v>Critically Important / Essential</v>
      </c>
      <c r="AA90" s="200" t="str">
        <f>'Outcome Priotization'!F25</f>
        <v>Critically Important / Essential</v>
      </c>
      <c r="AB90" s="199"/>
      <c r="AC90" s="197"/>
      <c r="AD90" s="197"/>
      <c r="AE90" s="197"/>
      <c r="AF90" s="200"/>
      <c r="AG90" s="199"/>
      <c r="AH90" s="197"/>
      <c r="AI90" s="197"/>
      <c r="AJ90" s="197" t="str">
        <f>'Outcome Priotization'!F34</f>
        <v>Critically Important / Essential</v>
      </c>
      <c r="AK90" s="200"/>
      <c r="AL90" s="199"/>
      <c r="AM90" s="197"/>
      <c r="AN90" s="197" t="str">
        <f>'Outcome Priotization'!F38</f>
        <v>Very Important</v>
      </c>
      <c r="AO90" s="200" t="str">
        <f>'Outcome Priotization'!F39</f>
        <v>Slightly unimportant</v>
      </c>
      <c r="AP90" s="199"/>
      <c r="AQ90" s="197" t="str">
        <f>'Outcome Priotization'!F41</f>
        <v>Critically Important / Essential</v>
      </c>
      <c r="AR90" s="198"/>
    </row>
    <row r="91" spans="1:44" ht="15" customHeight="1" x14ac:dyDescent="0.25">
      <c r="A91" s="161"/>
      <c r="B91" s="132"/>
      <c r="C91" s="144" t="s">
        <v>262</v>
      </c>
      <c r="D91" s="240"/>
      <c r="E91" s="146"/>
      <c r="F91" s="246"/>
      <c r="G91" s="187"/>
      <c r="H91" s="188"/>
      <c r="I91" s="188"/>
      <c r="J91" s="63"/>
      <c r="K91" s="132"/>
      <c r="L91" s="132"/>
      <c r="M91" s="145"/>
      <c r="N91" s="109"/>
      <c r="O91" s="110"/>
      <c r="P91" s="110"/>
      <c r="Q91" s="110"/>
      <c r="R91" s="110"/>
      <c r="S91" s="110"/>
      <c r="T91" s="110"/>
      <c r="U91" s="110"/>
      <c r="V91" s="111"/>
      <c r="W91" s="109"/>
      <c r="X91" s="110"/>
      <c r="Y91" s="110"/>
      <c r="Z91" s="110"/>
      <c r="AA91" s="111"/>
      <c r="AB91" s="109"/>
      <c r="AC91" s="110"/>
      <c r="AD91" s="110"/>
      <c r="AE91" s="110"/>
      <c r="AF91" s="111"/>
      <c r="AG91" s="109"/>
      <c r="AH91" s="110"/>
      <c r="AI91" s="110"/>
      <c r="AJ91" s="110"/>
      <c r="AK91" s="111"/>
      <c r="AL91" s="109"/>
      <c r="AM91" s="110"/>
      <c r="AN91" s="110"/>
      <c r="AO91" s="111"/>
      <c r="AP91" s="109"/>
      <c r="AQ91" s="110"/>
      <c r="AR91" s="112"/>
    </row>
    <row r="92" spans="1:44" ht="15" customHeight="1" x14ac:dyDescent="0.25">
      <c r="A92" s="161"/>
      <c r="B92" s="162">
        <v>11</v>
      </c>
      <c r="C92" s="147" t="s">
        <v>263</v>
      </c>
      <c r="D92" s="241"/>
      <c r="E92" s="148"/>
      <c r="F92" s="247"/>
      <c r="G92" s="175"/>
      <c r="H92" s="176"/>
      <c r="I92" s="176"/>
      <c r="J92" s="206"/>
      <c r="K92" s="135"/>
      <c r="L92" s="135"/>
      <c r="M92" s="170"/>
      <c r="N92" s="199"/>
      <c r="O92" s="197"/>
      <c r="P92" s="197"/>
      <c r="Q92" s="197"/>
      <c r="R92" s="197"/>
      <c r="S92" s="197"/>
      <c r="T92" s="197"/>
      <c r="U92" s="197"/>
      <c r="V92" s="200"/>
      <c r="W92" s="199"/>
      <c r="X92" s="197"/>
      <c r="Y92" s="197"/>
      <c r="Z92" s="197"/>
      <c r="AA92" s="200"/>
      <c r="AB92" s="199"/>
      <c r="AC92" s="197"/>
      <c r="AD92" s="197"/>
      <c r="AE92" s="197"/>
      <c r="AF92" s="200"/>
      <c r="AG92" s="199"/>
      <c r="AH92" s="197"/>
      <c r="AI92" s="197"/>
      <c r="AJ92" s="197"/>
      <c r="AK92" s="200"/>
      <c r="AL92" s="199"/>
      <c r="AM92" s="197"/>
      <c r="AN92" s="197"/>
      <c r="AO92" s="200"/>
      <c r="AP92" s="199"/>
      <c r="AQ92" s="197"/>
      <c r="AR92" s="198"/>
    </row>
    <row r="93" spans="1:44" ht="46.5" customHeight="1" x14ac:dyDescent="0.25">
      <c r="A93" s="161"/>
      <c r="B93" s="447">
        <v>11.1</v>
      </c>
      <c r="C93" s="449" t="s">
        <v>264</v>
      </c>
      <c r="D93" s="451"/>
      <c r="E93" s="154" t="s">
        <v>265</v>
      </c>
      <c r="F93" s="251"/>
      <c r="G93" s="177" t="s">
        <v>152</v>
      </c>
      <c r="H93" s="178" t="s">
        <v>152</v>
      </c>
      <c r="I93" s="178" t="s">
        <v>152</v>
      </c>
      <c r="J93" s="186" t="s">
        <v>152</v>
      </c>
      <c r="K93" s="447" cm="1">
        <f t="array" ref="K93">SUMPRODUCT(IFERROR(VLOOKUP(N93:AR93,'Response Options'!$D$5:$E$10,2,FALSE),0))/COUNTA(N93:AR93)</f>
        <v>3.8235294117647061</v>
      </c>
      <c r="L93" s="447">
        <f t="shared" si="1"/>
        <v>4</v>
      </c>
      <c r="M93" s="443" t="str">
        <f>_xlfn.XLOOKUP(L93,'Response Options'!$E$5:$E$10,'Response Options'!$D$5:$D$10)</f>
        <v>Extremely Important</v>
      </c>
      <c r="N93" s="445" t="str">
        <f>'Outcome Priotization'!$F$12</f>
        <v>Critically Important / Essential</v>
      </c>
      <c r="O93" s="435" t="str">
        <f>'Outcome Priotization'!F13</f>
        <v>Moderately Important</v>
      </c>
      <c r="P93" s="435" t="str">
        <f>'Outcome Priotization'!F14</f>
        <v>Critically Important / Essential</v>
      </c>
      <c r="Q93" s="435" t="str">
        <f>'Outcome Priotization'!F15</f>
        <v>Slightly important</v>
      </c>
      <c r="R93" s="435" t="str">
        <f>'Outcome Priotization'!F16</f>
        <v>Critically Important / Essential</v>
      </c>
      <c r="S93" s="435" t="str">
        <f>'Outcome Priotization'!F17</f>
        <v>Very Important</v>
      </c>
      <c r="T93" s="435" t="str">
        <f>'Outcome Priotization'!F18</f>
        <v>Critically Important / Essential</v>
      </c>
      <c r="U93" s="435" t="str">
        <f>'Outcome Priotization'!F19</f>
        <v>Critically Important / Essential</v>
      </c>
      <c r="V93" s="441"/>
      <c r="W93" s="439"/>
      <c r="X93" s="435"/>
      <c r="Y93" s="435"/>
      <c r="Z93" s="435"/>
      <c r="AA93" s="441" t="str">
        <f>'Outcome Priotization'!F25</f>
        <v>Critically Important / Essential</v>
      </c>
      <c r="AB93" s="439"/>
      <c r="AC93" s="435"/>
      <c r="AD93" s="435"/>
      <c r="AE93" s="435"/>
      <c r="AF93" s="441"/>
      <c r="AG93" s="439" t="str">
        <f>'Outcome Priotization'!F31</f>
        <v>Critically Important / Essential</v>
      </c>
      <c r="AH93" s="435" t="str">
        <f>'Outcome Priotization'!F32</f>
        <v>Very Important</v>
      </c>
      <c r="AI93" s="435" t="str">
        <f>'Outcome Priotization'!F33</f>
        <v>Critically Important / Essential</v>
      </c>
      <c r="AJ93" s="435"/>
      <c r="AK93" s="441"/>
      <c r="AL93" s="439"/>
      <c r="AM93" s="435" t="str">
        <f>'Outcome Priotization'!F37</f>
        <v>Extremely Important</v>
      </c>
      <c r="AN93" s="435"/>
      <c r="AO93" s="441" t="str">
        <f>'Outcome Priotization'!F39</f>
        <v>Slightly unimportant</v>
      </c>
      <c r="AP93" s="439" t="str">
        <f>'Outcome Priotization'!F40</f>
        <v>Critically Important / Essential</v>
      </c>
      <c r="AQ93" s="435" t="str">
        <f>'Outcome Priotization'!F41</f>
        <v>Critically Important / Essential</v>
      </c>
      <c r="AR93" s="437" t="str">
        <f>'Outcome Priotization'!F42</f>
        <v>Moderately Important</v>
      </c>
    </row>
    <row r="94" spans="1:44" ht="46.5" customHeight="1" x14ac:dyDescent="0.25">
      <c r="A94" s="161"/>
      <c r="B94" s="453"/>
      <c r="C94" s="454"/>
      <c r="D94" s="455"/>
      <c r="E94" s="150" t="s">
        <v>266</v>
      </c>
      <c r="F94" s="249"/>
      <c r="G94" s="180" t="s">
        <v>152</v>
      </c>
      <c r="H94" s="181" t="s">
        <v>152</v>
      </c>
      <c r="I94" s="181" t="s">
        <v>152</v>
      </c>
      <c r="J94" s="182" t="s">
        <v>152</v>
      </c>
      <c r="K94" s="453"/>
      <c r="L94" s="453"/>
      <c r="M94" s="456"/>
      <c r="N94" s="445"/>
      <c r="O94" s="435"/>
      <c r="P94" s="435"/>
      <c r="Q94" s="435"/>
      <c r="R94" s="435"/>
      <c r="S94" s="435"/>
      <c r="T94" s="435"/>
      <c r="U94" s="435"/>
      <c r="V94" s="441"/>
      <c r="W94" s="439"/>
      <c r="X94" s="435"/>
      <c r="Y94" s="435"/>
      <c r="Z94" s="435"/>
      <c r="AA94" s="441"/>
      <c r="AB94" s="439"/>
      <c r="AC94" s="435"/>
      <c r="AD94" s="435"/>
      <c r="AE94" s="435"/>
      <c r="AF94" s="441"/>
      <c r="AG94" s="439"/>
      <c r="AH94" s="435"/>
      <c r="AI94" s="435"/>
      <c r="AJ94" s="435"/>
      <c r="AK94" s="441"/>
      <c r="AL94" s="439"/>
      <c r="AM94" s="435"/>
      <c r="AN94" s="435"/>
      <c r="AO94" s="441"/>
      <c r="AP94" s="439"/>
      <c r="AQ94" s="435"/>
      <c r="AR94" s="437"/>
    </row>
    <row r="95" spans="1:44" ht="46.5" customHeight="1" x14ac:dyDescent="0.25">
      <c r="A95" s="161"/>
      <c r="B95" s="447">
        <v>11.2</v>
      </c>
      <c r="C95" s="449" t="s">
        <v>267</v>
      </c>
      <c r="D95" s="451"/>
      <c r="E95" s="154" t="s">
        <v>268</v>
      </c>
      <c r="F95" s="251"/>
      <c r="G95" s="177" t="s">
        <v>152</v>
      </c>
      <c r="H95" s="178" t="s">
        <v>152</v>
      </c>
      <c r="I95" s="178" t="s">
        <v>152</v>
      </c>
      <c r="J95" s="186" t="s">
        <v>152</v>
      </c>
      <c r="K95" s="447" cm="1">
        <f t="array" ref="K95">SUMPRODUCT(IFERROR(VLOOKUP(N95:AR95,'Response Options'!$D$5:$E$10,2,FALSE),0))/COUNTA(N95:AR95)</f>
        <v>3.9230769230769229</v>
      </c>
      <c r="L95" s="447">
        <f t="shared" si="1"/>
        <v>4</v>
      </c>
      <c r="M95" s="443" t="str">
        <f>_xlfn.XLOOKUP(L95,'Response Options'!$E$5:$E$10,'Response Options'!$D$5:$D$10)</f>
        <v>Extremely Important</v>
      </c>
      <c r="N95" s="445" t="str">
        <f>'Outcome Priotization'!$F$12</f>
        <v>Critically Important / Essential</v>
      </c>
      <c r="O95" s="435" t="str">
        <f>'Outcome Priotization'!F13</f>
        <v>Moderately Important</v>
      </c>
      <c r="P95" s="435"/>
      <c r="Q95" s="435" t="str">
        <f>'Outcome Priotization'!F15</f>
        <v>Slightly important</v>
      </c>
      <c r="R95" s="435"/>
      <c r="S95" s="435" t="str">
        <f>'Outcome Priotization'!F17</f>
        <v>Very Important</v>
      </c>
      <c r="T95" s="435" t="str">
        <f>'Outcome Priotization'!F18</f>
        <v>Critically Important / Essential</v>
      </c>
      <c r="U95" s="435" t="str">
        <f>'Outcome Priotization'!F19</f>
        <v>Critically Important / Essential</v>
      </c>
      <c r="V95" s="441"/>
      <c r="W95" s="439"/>
      <c r="X95" s="435"/>
      <c r="Y95" s="435"/>
      <c r="Z95" s="435"/>
      <c r="AA95" s="441" t="str">
        <f>'Outcome Priotization'!F25</f>
        <v>Critically Important / Essential</v>
      </c>
      <c r="AB95" s="439"/>
      <c r="AC95" s="435"/>
      <c r="AD95" s="435"/>
      <c r="AE95" s="435"/>
      <c r="AF95" s="441"/>
      <c r="AG95" s="439" t="str">
        <f>'Outcome Priotization'!F31</f>
        <v>Critically Important / Essential</v>
      </c>
      <c r="AH95" s="435" t="str">
        <f>'Outcome Priotization'!F32</f>
        <v>Very Important</v>
      </c>
      <c r="AI95" s="435" t="str">
        <f>'Outcome Priotization'!F33</f>
        <v>Critically Important / Essential</v>
      </c>
      <c r="AJ95" s="435"/>
      <c r="AK95" s="441"/>
      <c r="AL95" s="439"/>
      <c r="AM95" s="435"/>
      <c r="AN95" s="435"/>
      <c r="AO95" s="441"/>
      <c r="AP95" s="439" t="str">
        <f>'Outcome Priotization'!F40</f>
        <v>Critically Important / Essential</v>
      </c>
      <c r="AQ95" s="435" t="str">
        <f>'Outcome Priotization'!F41</f>
        <v>Critically Important / Essential</v>
      </c>
      <c r="AR95" s="437" t="str">
        <f>'Outcome Priotization'!F42</f>
        <v>Moderately Important</v>
      </c>
    </row>
    <row r="96" spans="1:44" ht="46.5" customHeight="1" x14ac:dyDescent="0.25">
      <c r="A96" s="161"/>
      <c r="B96" s="458"/>
      <c r="C96" s="459"/>
      <c r="D96" s="460"/>
      <c r="E96" s="150" t="s">
        <v>269</v>
      </c>
      <c r="F96" s="249"/>
      <c r="G96" s="180" t="s">
        <v>152</v>
      </c>
      <c r="H96" s="181" t="s">
        <v>152</v>
      </c>
      <c r="I96" s="181" t="s">
        <v>152</v>
      </c>
      <c r="J96" s="182" t="s">
        <v>152</v>
      </c>
      <c r="K96" s="458"/>
      <c r="L96" s="458"/>
      <c r="M96" s="457"/>
      <c r="N96" s="445"/>
      <c r="O96" s="435"/>
      <c r="P96" s="435"/>
      <c r="Q96" s="435"/>
      <c r="R96" s="435"/>
      <c r="S96" s="435"/>
      <c r="T96" s="435"/>
      <c r="U96" s="435"/>
      <c r="V96" s="441"/>
      <c r="W96" s="439"/>
      <c r="X96" s="435"/>
      <c r="Y96" s="435"/>
      <c r="Z96" s="435"/>
      <c r="AA96" s="441"/>
      <c r="AB96" s="439"/>
      <c r="AC96" s="435"/>
      <c r="AD96" s="435"/>
      <c r="AE96" s="435"/>
      <c r="AF96" s="441"/>
      <c r="AG96" s="439"/>
      <c r="AH96" s="435"/>
      <c r="AI96" s="435"/>
      <c r="AJ96" s="435"/>
      <c r="AK96" s="441"/>
      <c r="AL96" s="439"/>
      <c r="AM96" s="435"/>
      <c r="AN96" s="435"/>
      <c r="AO96" s="441"/>
      <c r="AP96" s="439"/>
      <c r="AQ96" s="435"/>
      <c r="AR96" s="437"/>
    </row>
    <row r="97" spans="1:44" ht="46.5" customHeight="1" x14ac:dyDescent="0.25">
      <c r="A97" s="161"/>
      <c r="B97" s="458"/>
      <c r="C97" s="459"/>
      <c r="D97" s="460"/>
      <c r="E97" s="150" t="s">
        <v>270</v>
      </c>
      <c r="F97" s="249"/>
      <c r="G97" s="180" t="s">
        <v>152</v>
      </c>
      <c r="H97" s="181" t="s">
        <v>152</v>
      </c>
      <c r="I97" s="181" t="s">
        <v>152</v>
      </c>
      <c r="J97" s="182" t="s">
        <v>152</v>
      </c>
      <c r="K97" s="458"/>
      <c r="L97" s="458"/>
      <c r="M97" s="457"/>
      <c r="N97" s="445"/>
      <c r="O97" s="435"/>
      <c r="P97" s="435"/>
      <c r="Q97" s="435"/>
      <c r="R97" s="435"/>
      <c r="S97" s="435"/>
      <c r="T97" s="435"/>
      <c r="U97" s="435"/>
      <c r="V97" s="441"/>
      <c r="W97" s="439"/>
      <c r="X97" s="435"/>
      <c r="Y97" s="435"/>
      <c r="Z97" s="435"/>
      <c r="AA97" s="441"/>
      <c r="AB97" s="439"/>
      <c r="AC97" s="435"/>
      <c r="AD97" s="435"/>
      <c r="AE97" s="435"/>
      <c r="AF97" s="441"/>
      <c r="AG97" s="439"/>
      <c r="AH97" s="435"/>
      <c r="AI97" s="435"/>
      <c r="AJ97" s="435"/>
      <c r="AK97" s="441"/>
      <c r="AL97" s="439"/>
      <c r="AM97" s="435"/>
      <c r="AN97" s="435"/>
      <c r="AO97" s="441"/>
      <c r="AP97" s="439"/>
      <c r="AQ97" s="435"/>
      <c r="AR97" s="437"/>
    </row>
    <row r="98" spans="1:44" ht="46.5" customHeight="1" x14ac:dyDescent="0.25">
      <c r="A98" s="161"/>
      <c r="B98" s="453"/>
      <c r="C98" s="454"/>
      <c r="D98" s="455"/>
      <c r="E98" s="150" t="s">
        <v>271</v>
      </c>
      <c r="F98" s="249"/>
      <c r="G98" s="180"/>
      <c r="H98" s="181" t="s">
        <v>152</v>
      </c>
      <c r="I98" s="181" t="s">
        <v>152</v>
      </c>
      <c r="J98" s="182" t="s">
        <v>152</v>
      </c>
      <c r="K98" s="453"/>
      <c r="L98" s="453"/>
      <c r="M98" s="456"/>
      <c r="N98" s="445"/>
      <c r="O98" s="435"/>
      <c r="P98" s="435"/>
      <c r="Q98" s="435"/>
      <c r="R98" s="435"/>
      <c r="S98" s="435"/>
      <c r="T98" s="435"/>
      <c r="U98" s="435"/>
      <c r="V98" s="441"/>
      <c r="W98" s="439"/>
      <c r="X98" s="435"/>
      <c r="Y98" s="435"/>
      <c r="Z98" s="435"/>
      <c r="AA98" s="441"/>
      <c r="AB98" s="439"/>
      <c r="AC98" s="435"/>
      <c r="AD98" s="435"/>
      <c r="AE98" s="435"/>
      <c r="AF98" s="441"/>
      <c r="AG98" s="439"/>
      <c r="AH98" s="435"/>
      <c r="AI98" s="435"/>
      <c r="AJ98" s="435"/>
      <c r="AK98" s="441"/>
      <c r="AL98" s="439"/>
      <c r="AM98" s="435"/>
      <c r="AN98" s="435"/>
      <c r="AO98" s="441"/>
      <c r="AP98" s="439"/>
      <c r="AQ98" s="435"/>
      <c r="AR98" s="437"/>
    </row>
    <row r="99" spans="1:44" ht="46.5" customHeight="1" x14ac:dyDescent="0.25">
      <c r="A99" s="161"/>
      <c r="B99" s="447">
        <v>11.3</v>
      </c>
      <c r="C99" s="449" t="s">
        <v>272</v>
      </c>
      <c r="D99" s="451"/>
      <c r="E99" s="154" t="s">
        <v>273</v>
      </c>
      <c r="F99" s="251"/>
      <c r="G99" s="177"/>
      <c r="H99" s="178" t="s">
        <v>152</v>
      </c>
      <c r="I99" s="178"/>
      <c r="J99" s="186"/>
      <c r="K99" s="447" cm="1">
        <f t="array" ref="K99">SUMPRODUCT(IFERROR(VLOOKUP(N99:AR99,'Response Options'!$D$5:$E$10,2,FALSE),0))/COUNTA(N99:AR99)</f>
        <v>3.875</v>
      </c>
      <c r="L99" s="447">
        <f t="shared" si="1"/>
        <v>4</v>
      </c>
      <c r="M99" s="443" t="str">
        <f>_xlfn.XLOOKUP(L99,'Response Options'!$E$5:$E$10,'Response Options'!$D$5:$D$10)</f>
        <v>Extremely Important</v>
      </c>
      <c r="N99" s="445" t="str">
        <f>'Outcome Priotization'!$F$12</f>
        <v>Critically Important / Essential</v>
      </c>
      <c r="O99" s="435" t="str">
        <f>'Outcome Priotization'!F13</f>
        <v>Moderately Important</v>
      </c>
      <c r="P99" s="435" t="str">
        <f>'Outcome Priotization'!F14</f>
        <v>Critically Important / Essential</v>
      </c>
      <c r="Q99" s="435" t="str">
        <f>'Outcome Priotization'!F15</f>
        <v>Slightly important</v>
      </c>
      <c r="R99" s="435" t="str">
        <f>'Outcome Priotization'!F16</f>
        <v>Critically Important / Essential</v>
      </c>
      <c r="S99" s="435" t="str">
        <f>'Outcome Priotization'!F17</f>
        <v>Very Important</v>
      </c>
      <c r="T99" s="435" t="str">
        <f>'Outcome Priotization'!F18</f>
        <v>Critically Important / Essential</v>
      </c>
      <c r="U99" s="435"/>
      <c r="V99" s="441"/>
      <c r="W99" s="439" t="str">
        <f>'Outcome Priotization'!F21</f>
        <v>Extremely Important</v>
      </c>
      <c r="X99" s="435"/>
      <c r="Y99" s="435" t="str">
        <f>'Outcome Priotization'!F23</f>
        <v>Very Important</v>
      </c>
      <c r="Z99" s="435"/>
      <c r="AA99" s="441" t="str">
        <f>'Outcome Priotization'!F25</f>
        <v>Critically Important / Essential</v>
      </c>
      <c r="AB99" s="439"/>
      <c r="AC99" s="435"/>
      <c r="AD99" s="435"/>
      <c r="AE99" s="435"/>
      <c r="AF99" s="441"/>
      <c r="AG99" s="439" t="str">
        <f>'Outcome Priotization'!F31</f>
        <v>Critically Important / Essential</v>
      </c>
      <c r="AH99" s="435" t="str">
        <f>'Outcome Priotization'!F32</f>
        <v>Very Important</v>
      </c>
      <c r="AI99" s="435" t="str">
        <f>'Outcome Priotization'!F33</f>
        <v>Critically Important / Essential</v>
      </c>
      <c r="AJ99" s="435"/>
      <c r="AK99" s="441"/>
      <c r="AL99" s="439"/>
      <c r="AM99" s="435" t="str">
        <f>'Outcome Priotization'!F37</f>
        <v>Extremely Important</v>
      </c>
      <c r="AN99" s="435"/>
      <c r="AO99" s="441"/>
      <c r="AP99" s="439"/>
      <c r="AQ99" s="435" t="str">
        <f>'Outcome Priotization'!F41</f>
        <v>Critically Important / Essential</v>
      </c>
      <c r="AR99" s="437" t="str">
        <f>'Outcome Priotization'!F42</f>
        <v>Moderately Important</v>
      </c>
    </row>
    <row r="100" spans="1:44" ht="46.5" customHeight="1" x14ac:dyDescent="0.25">
      <c r="A100" s="161"/>
      <c r="B100" s="458"/>
      <c r="C100" s="459"/>
      <c r="D100" s="460"/>
      <c r="E100" s="150" t="s">
        <v>274</v>
      </c>
      <c r="F100" s="249"/>
      <c r="G100" s="180" t="s">
        <v>152</v>
      </c>
      <c r="H100" s="181" t="s">
        <v>152</v>
      </c>
      <c r="I100" s="181" t="s">
        <v>152</v>
      </c>
      <c r="J100" s="182" t="s">
        <v>152</v>
      </c>
      <c r="K100" s="458"/>
      <c r="L100" s="458"/>
      <c r="M100" s="457"/>
      <c r="N100" s="445"/>
      <c r="O100" s="435"/>
      <c r="P100" s="435"/>
      <c r="Q100" s="435"/>
      <c r="R100" s="435"/>
      <c r="S100" s="435"/>
      <c r="T100" s="435"/>
      <c r="U100" s="435"/>
      <c r="V100" s="441"/>
      <c r="W100" s="439"/>
      <c r="X100" s="435"/>
      <c r="Y100" s="435"/>
      <c r="Z100" s="435"/>
      <c r="AA100" s="441"/>
      <c r="AB100" s="439"/>
      <c r="AC100" s="435"/>
      <c r="AD100" s="435"/>
      <c r="AE100" s="435"/>
      <c r="AF100" s="441"/>
      <c r="AG100" s="439"/>
      <c r="AH100" s="435"/>
      <c r="AI100" s="435"/>
      <c r="AJ100" s="435"/>
      <c r="AK100" s="441"/>
      <c r="AL100" s="439"/>
      <c r="AM100" s="435"/>
      <c r="AN100" s="435"/>
      <c r="AO100" s="441"/>
      <c r="AP100" s="439"/>
      <c r="AQ100" s="435"/>
      <c r="AR100" s="437"/>
    </row>
    <row r="101" spans="1:44" ht="46.5" customHeight="1" x14ac:dyDescent="0.25">
      <c r="A101" s="161"/>
      <c r="B101" s="458"/>
      <c r="C101" s="459"/>
      <c r="D101" s="460"/>
      <c r="E101" s="150" t="s">
        <v>275</v>
      </c>
      <c r="F101" s="249"/>
      <c r="G101" s="180"/>
      <c r="H101" s="181" t="s">
        <v>152</v>
      </c>
      <c r="I101" s="181" t="s">
        <v>152</v>
      </c>
      <c r="J101" s="182" t="s">
        <v>152</v>
      </c>
      <c r="K101" s="458"/>
      <c r="L101" s="458"/>
      <c r="M101" s="457"/>
      <c r="N101" s="445"/>
      <c r="O101" s="435"/>
      <c r="P101" s="435"/>
      <c r="Q101" s="435"/>
      <c r="R101" s="435"/>
      <c r="S101" s="435"/>
      <c r="T101" s="435"/>
      <c r="U101" s="435"/>
      <c r="V101" s="441"/>
      <c r="W101" s="439"/>
      <c r="X101" s="435"/>
      <c r="Y101" s="435"/>
      <c r="Z101" s="435"/>
      <c r="AA101" s="441"/>
      <c r="AB101" s="439"/>
      <c r="AC101" s="435"/>
      <c r="AD101" s="435"/>
      <c r="AE101" s="435"/>
      <c r="AF101" s="441"/>
      <c r="AG101" s="439"/>
      <c r="AH101" s="435"/>
      <c r="AI101" s="435"/>
      <c r="AJ101" s="435"/>
      <c r="AK101" s="441"/>
      <c r="AL101" s="439"/>
      <c r="AM101" s="435"/>
      <c r="AN101" s="435"/>
      <c r="AO101" s="441"/>
      <c r="AP101" s="439"/>
      <c r="AQ101" s="435"/>
      <c r="AR101" s="437"/>
    </row>
    <row r="102" spans="1:44" ht="46.5" customHeight="1" x14ac:dyDescent="0.25">
      <c r="A102" s="161"/>
      <c r="B102" s="458"/>
      <c r="C102" s="459"/>
      <c r="D102" s="460"/>
      <c r="E102" s="150" t="s">
        <v>276</v>
      </c>
      <c r="F102" s="249"/>
      <c r="G102" s="180" t="s">
        <v>152</v>
      </c>
      <c r="H102" s="181" t="s">
        <v>152</v>
      </c>
      <c r="I102" s="181" t="s">
        <v>152</v>
      </c>
      <c r="J102" s="182" t="s">
        <v>152</v>
      </c>
      <c r="K102" s="458"/>
      <c r="L102" s="458"/>
      <c r="M102" s="457"/>
      <c r="N102" s="445"/>
      <c r="O102" s="435"/>
      <c r="P102" s="435"/>
      <c r="Q102" s="435"/>
      <c r="R102" s="435"/>
      <c r="S102" s="435"/>
      <c r="T102" s="435"/>
      <c r="U102" s="435"/>
      <c r="V102" s="441"/>
      <c r="W102" s="439"/>
      <c r="X102" s="435"/>
      <c r="Y102" s="435"/>
      <c r="Z102" s="435"/>
      <c r="AA102" s="441"/>
      <c r="AB102" s="439"/>
      <c r="AC102" s="435"/>
      <c r="AD102" s="435"/>
      <c r="AE102" s="435"/>
      <c r="AF102" s="441"/>
      <c r="AG102" s="439"/>
      <c r="AH102" s="435"/>
      <c r="AI102" s="435"/>
      <c r="AJ102" s="435"/>
      <c r="AK102" s="441"/>
      <c r="AL102" s="439"/>
      <c r="AM102" s="435"/>
      <c r="AN102" s="435"/>
      <c r="AO102" s="441"/>
      <c r="AP102" s="439"/>
      <c r="AQ102" s="435"/>
      <c r="AR102" s="437"/>
    </row>
    <row r="103" spans="1:44" ht="46.5" customHeight="1" x14ac:dyDescent="0.25">
      <c r="A103" s="161"/>
      <c r="B103" s="453"/>
      <c r="C103" s="454"/>
      <c r="D103" s="455"/>
      <c r="E103" s="150" t="s">
        <v>277</v>
      </c>
      <c r="F103" s="249"/>
      <c r="G103" s="180" t="s">
        <v>152</v>
      </c>
      <c r="H103" s="181" t="s">
        <v>152</v>
      </c>
      <c r="I103" s="181" t="s">
        <v>152</v>
      </c>
      <c r="J103" s="182" t="s">
        <v>152</v>
      </c>
      <c r="K103" s="453"/>
      <c r="L103" s="453"/>
      <c r="M103" s="456"/>
      <c r="N103" s="445"/>
      <c r="O103" s="435"/>
      <c r="P103" s="435"/>
      <c r="Q103" s="435"/>
      <c r="R103" s="435"/>
      <c r="S103" s="435"/>
      <c r="T103" s="435"/>
      <c r="U103" s="435"/>
      <c r="V103" s="441"/>
      <c r="W103" s="439"/>
      <c r="X103" s="435"/>
      <c r="Y103" s="435"/>
      <c r="Z103" s="435"/>
      <c r="AA103" s="441"/>
      <c r="AB103" s="439"/>
      <c r="AC103" s="435"/>
      <c r="AD103" s="435"/>
      <c r="AE103" s="435"/>
      <c r="AF103" s="441"/>
      <c r="AG103" s="439"/>
      <c r="AH103" s="435"/>
      <c r="AI103" s="435"/>
      <c r="AJ103" s="435"/>
      <c r="AK103" s="441"/>
      <c r="AL103" s="439"/>
      <c r="AM103" s="435"/>
      <c r="AN103" s="435"/>
      <c r="AO103" s="441"/>
      <c r="AP103" s="439"/>
      <c r="AQ103" s="435"/>
      <c r="AR103" s="437"/>
    </row>
    <row r="104" spans="1:44" ht="64.5" customHeight="1" x14ac:dyDescent="0.25">
      <c r="A104" s="161"/>
      <c r="B104" s="202">
        <v>11.4</v>
      </c>
      <c r="C104" s="203" t="s">
        <v>278</v>
      </c>
      <c r="D104" s="242"/>
      <c r="E104" s="154" t="s">
        <v>279</v>
      </c>
      <c r="F104" s="251"/>
      <c r="G104" s="177" t="s">
        <v>152</v>
      </c>
      <c r="H104" s="178" t="s">
        <v>152</v>
      </c>
      <c r="I104" s="178" t="s">
        <v>152</v>
      </c>
      <c r="J104" s="186" t="s">
        <v>152</v>
      </c>
      <c r="K104" s="202" cm="1">
        <f t="array" ref="K104">SUMPRODUCT(IFERROR(VLOOKUP(N104:AR104,'Response Options'!$D$5:$E$10,2,FALSE),0))/COUNTA(N104:AR104)</f>
        <v>4.5555555555555554</v>
      </c>
      <c r="L104" s="202">
        <f t="shared" si="1"/>
        <v>5</v>
      </c>
      <c r="M104" s="201" t="str">
        <f>_xlfn.XLOOKUP(L104,'Response Options'!$E$5:$E$10,'Response Options'!$D$5:$D$10)</f>
        <v>Critically Important / Essential</v>
      </c>
      <c r="N104" s="199" t="str">
        <f>'Outcome Priotization'!$F$12</f>
        <v>Critically Important / Essential</v>
      </c>
      <c r="O104" s="197"/>
      <c r="P104" s="197"/>
      <c r="Q104" s="197"/>
      <c r="R104" s="197"/>
      <c r="S104" s="197" t="str">
        <f>'Outcome Priotization'!F17</f>
        <v>Very Important</v>
      </c>
      <c r="T104" s="197"/>
      <c r="U104" s="197" t="str">
        <f>'Outcome Priotization'!F19</f>
        <v>Critically Important / Essential</v>
      </c>
      <c r="V104" s="200"/>
      <c r="W104" s="199" t="str">
        <f>'Outcome Priotization'!F21</f>
        <v>Extremely Important</v>
      </c>
      <c r="X104" s="197"/>
      <c r="Y104" s="197"/>
      <c r="Z104" s="197"/>
      <c r="AA104" s="200" t="str">
        <f>'Outcome Priotization'!F25</f>
        <v>Critically Important / Essential</v>
      </c>
      <c r="AB104" s="199"/>
      <c r="AC104" s="197"/>
      <c r="AD104" s="197"/>
      <c r="AE104" s="197"/>
      <c r="AF104" s="200"/>
      <c r="AG104" s="199"/>
      <c r="AH104" s="197"/>
      <c r="AI104" s="197" t="str">
        <f>'Outcome Priotization'!F33</f>
        <v>Critically Important / Essential</v>
      </c>
      <c r="AJ104" s="197"/>
      <c r="AK104" s="200"/>
      <c r="AL104" s="199"/>
      <c r="AM104" s="197" t="str">
        <f>'Outcome Priotization'!F37</f>
        <v>Extremely Important</v>
      </c>
      <c r="AN104" s="197"/>
      <c r="AO104" s="200"/>
      <c r="AP104" s="199" t="str">
        <f>'Outcome Priotization'!F40</f>
        <v>Critically Important / Essential</v>
      </c>
      <c r="AQ104" s="197" t="str">
        <f>'Outcome Priotization'!F41</f>
        <v>Critically Important / Essential</v>
      </c>
      <c r="AR104" s="198"/>
    </row>
    <row r="105" spans="1:44" ht="13.5" customHeight="1" x14ac:dyDescent="0.25">
      <c r="A105" s="161"/>
      <c r="B105" s="164">
        <v>12</v>
      </c>
      <c r="C105" s="155" t="s">
        <v>280</v>
      </c>
      <c r="D105" s="244"/>
      <c r="E105" s="156"/>
      <c r="F105" s="252"/>
      <c r="G105" s="189"/>
      <c r="H105" s="190"/>
      <c r="I105" s="190"/>
      <c r="J105" s="59"/>
      <c r="K105" s="136"/>
      <c r="L105" s="136"/>
      <c r="M105" s="171"/>
      <c r="N105" s="122"/>
      <c r="O105" s="123"/>
      <c r="P105" s="123"/>
      <c r="Q105" s="123"/>
      <c r="R105" s="123"/>
      <c r="S105" s="123"/>
      <c r="T105" s="123"/>
      <c r="U105" s="123"/>
      <c r="V105" s="124"/>
      <c r="W105" s="122"/>
      <c r="X105" s="123"/>
      <c r="Y105" s="123"/>
      <c r="Z105" s="123"/>
      <c r="AA105" s="124"/>
      <c r="AB105" s="122"/>
      <c r="AC105" s="123"/>
      <c r="AD105" s="123"/>
      <c r="AE105" s="123"/>
      <c r="AF105" s="124"/>
      <c r="AG105" s="122"/>
      <c r="AH105" s="123"/>
      <c r="AI105" s="123"/>
      <c r="AJ105" s="123"/>
      <c r="AK105" s="124"/>
      <c r="AL105" s="122"/>
      <c r="AM105" s="123"/>
      <c r="AN105" s="123"/>
      <c r="AO105" s="124"/>
      <c r="AP105" s="122"/>
      <c r="AQ105" s="123"/>
      <c r="AR105" s="125"/>
    </row>
    <row r="106" spans="1:44" ht="39" customHeight="1" x14ac:dyDescent="0.25">
      <c r="A106" s="161"/>
      <c r="B106" s="447">
        <v>12.1</v>
      </c>
      <c r="C106" s="449" t="s">
        <v>281</v>
      </c>
      <c r="D106" s="451"/>
      <c r="E106" s="154" t="s">
        <v>282</v>
      </c>
      <c r="F106" s="251"/>
      <c r="G106" s="177"/>
      <c r="H106" s="178"/>
      <c r="I106" s="178" t="s">
        <v>152</v>
      </c>
      <c r="J106" s="186" t="s">
        <v>152</v>
      </c>
      <c r="K106" s="447" cm="1">
        <f t="array" ref="K106">SUMPRODUCT(IFERROR(VLOOKUP(N106:AR106,'Response Options'!$D$5:$E$10,2,FALSE),0))/COUNTA(N106:AR106)</f>
        <v>3.5</v>
      </c>
      <c r="L106" s="447">
        <f t="shared" ref="L106:L113" si="2">ROUND(K106,0)</f>
        <v>4</v>
      </c>
      <c r="M106" s="443" t="str">
        <f>_xlfn.XLOOKUP(L106,'Response Options'!$E$5:$E$10,'Response Options'!$D$5:$D$10)</f>
        <v>Extremely Important</v>
      </c>
      <c r="N106" s="445"/>
      <c r="O106" s="435"/>
      <c r="P106" s="435"/>
      <c r="Q106" s="435" t="str">
        <f>'Outcome Priotization'!F15</f>
        <v>Slightly important</v>
      </c>
      <c r="R106" s="435" t="str">
        <f>'Outcome Priotization'!F16</f>
        <v>Critically Important / Essential</v>
      </c>
      <c r="S106" s="435" t="str">
        <f>'Outcome Priotization'!F17</f>
        <v>Very Important</v>
      </c>
      <c r="T106" s="435" t="str">
        <f>'Outcome Priotization'!F18</f>
        <v>Critically Important / Essential</v>
      </c>
      <c r="U106" s="435" t="str">
        <f>'Outcome Priotization'!F19</f>
        <v>Critically Important / Essential</v>
      </c>
      <c r="V106" s="441" t="str">
        <f>'Outcome Priotization'!F20</f>
        <v>Critically Important / Essential</v>
      </c>
      <c r="W106" s="439" t="str">
        <f>'Outcome Priotization'!F21</f>
        <v>Extremely Important</v>
      </c>
      <c r="X106" s="435"/>
      <c r="Y106" s="435"/>
      <c r="Z106" s="435"/>
      <c r="AA106" s="441"/>
      <c r="AB106" s="439" t="str">
        <f>'Outcome Priotization'!F26</f>
        <v>Extremely Important</v>
      </c>
      <c r="AC106" s="435" t="str">
        <f>'Outcome Priotization'!F27</f>
        <v>Moderately Important</v>
      </c>
      <c r="AD106" s="435"/>
      <c r="AE106" s="435"/>
      <c r="AF106" s="441"/>
      <c r="AG106" s="439"/>
      <c r="AH106" s="435"/>
      <c r="AI106" s="435"/>
      <c r="AJ106" s="435"/>
      <c r="AK106" s="441" t="str">
        <f>'Outcome Priotization'!F35</f>
        <v>Slightly important</v>
      </c>
      <c r="AL106" s="439"/>
      <c r="AM106" s="435"/>
      <c r="AN106" s="435"/>
      <c r="AO106" s="441"/>
      <c r="AP106" s="439"/>
      <c r="AQ106" s="435"/>
      <c r="AR106" s="437"/>
    </row>
    <row r="107" spans="1:44" ht="39" customHeight="1" x14ac:dyDescent="0.25">
      <c r="A107" s="161"/>
      <c r="B107" s="453"/>
      <c r="C107" s="454"/>
      <c r="D107" s="455"/>
      <c r="E107" s="150" t="s">
        <v>283</v>
      </c>
      <c r="F107" s="249"/>
      <c r="G107" s="180" t="s">
        <v>152</v>
      </c>
      <c r="H107" s="181" t="s">
        <v>152</v>
      </c>
      <c r="I107" s="181" t="s">
        <v>152</v>
      </c>
      <c r="J107" s="182" t="s">
        <v>152</v>
      </c>
      <c r="K107" s="453"/>
      <c r="L107" s="453"/>
      <c r="M107" s="456"/>
      <c r="N107" s="445"/>
      <c r="O107" s="435"/>
      <c r="P107" s="435"/>
      <c r="Q107" s="435"/>
      <c r="R107" s="435"/>
      <c r="S107" s="435"/>
      <c r="T107" s="435"/>
      <c r="U107" s="435"/>
      <c r="V107" s="441"/>
      <c r="W107" s="439"/>
      <c r="X107" s="435"/>
      <c r="Y107" s="435"/>
      <c r="Z107" s="435"/>
      <c r="AA107" s="441"/>
      <c r="AB107" s="439"/>
      <c r="AC107" s="435"/>
      <c r="AD107" s="435"/>
      <c r="AE107" s="435"/>
      <c r="AF107" s="441"/>
      <c r="AG107" s="439"/>
      <c r="AH107" s="435"/>
      <c r="AI107" s="435"/>
      <c r="AJ107" s="435"/>
      <c r="AK107" s="441"/>
      <c r="AL107" s="439"/>
      <c r="AM107" s="435"/>
      <c r="AN107" s="435"/>
      <c r="AO107" s="441"/>
      <c r="AP107" s="439"/>
      <c r="AQ107" s="435"/>
      <c r="AR107" s="437"/>
    </row>
    <row r="108" spans="1:44" ht="39" customHeight="1" x14ac:dyDescent="0.25">
      <c r="A108" s="161"/>
      <c r="B108" s="447">
        <v>12.2</v>
      </c>
      <c r="C108" s="449" t="s">
        <v>284</v>
      </c>
      <c r="D108" s="451"/>
      <c r="E108" s="154" t="s">
        <v>285</v>
      </c>
      <c r="F108" s="251"/>
      <c r="G108" s="177"/>
      <c r="H108" s="178" t="s">
        <v>152</v>
      </c>
      <c r="I108" s="178" t="s">
        <v>152</v>
      </c>
      <c r="J108" s="186" t="s">
        <v>152</v>
      </c>
      <c r="K108" s="447" cm="1">
        <f t="array" ref="K108">SUMPRODUCT(IFERROR(VLOOKUP(N108:AR108,'Response Options'!$D$5:$E$10,2,FALSE),0))/COUNTA(N108:AR108)</f>
        <v>2.75</v>
      </c>
      <c r="L108" s="447">
        <f t="shared" si="2"/>
        <v>3</v>
      </c>
      <c r="M108" s="443" t="str">
        <f>_xlfn.XLOOKUP(L108,'Response Options'!$E$5:$E$10,'Response Options'!$D$5:$D$10)</f>
        <v>Very Important</v>
      </c>
      <c r="N108" s="445"/>
      <c r="O108" s="435"/>
      <c r="P108" s="435" t="str">
        <f>'Outcome Priotization'!F14</f>
        <v>Critically Important / Essential</v>
      </c>
      <c r="Q108" s="435" t="str">
        <f>'Outcome Priotization'!F15</f>
        <v>Slightly important</v>
      </c>
      <c r="R108" s="435" t="str">
        <f>'Outcome Priotization'!F16</f>
        <v>Critically Important / Essential</v>
      </c>
      <c r="S108" s="435"/>
      <c r="T108" s="435"/>
      <c r="U108" s="435"/>
      <c r="V108" s="441"/>
      <c r="W108" s="439" t="str">
        <f>'Outcome Priotization'!F21</f>
        <v>Extremely Important</v>
      </c>
      <c r="X108" s="435"/>
      <c r="Y108" s="435"/>
      <c r="Z108" s="435"/>
      <c r="AA108" s="441"/>
      <c r="AB108" s="439" t="str">
        <f>'Outcome Priotization'!F26</f>
        <v>Extremely Important</v>
      </c>
      <c r="AC108" s="435"/>
      <c r="AD108" s="435" t="str">
        <f>'Outcome Priotization'!F28</f>
        <v>Slightly unimportant</v>
      </c>
      <c r="AE108" s="435"/>
      <c r="AF108" s="441"/>
      <c r="AG108" s="439"/>
      <c r="AH108" s="435"/>
      <c r="AI108" s="435"/>
      <c r="AJ108" s="435"/>
      <c r="AK108" s="441" t="str">
        <f>'Outcome Priotization'!F35</f>
        <v>Slightly important</v>
      </c>
      <c r="AL108" s="439"/>
      <c r="AM108" s="435"/>
      <c r="AN108" s="435"/>
      <c r="AO108" s="441"/>
      <c r="AP108" s="439"/>
      <c r="AQ108" s="435"/>
      <c r="AR108" s="437" t="str">
        <f>'Outcome Priotization'!F42</f>
        <v>Moderately Important</v>
      </c>
    </row>
    <row r="109" spans="1:44" ht="39" customHeight="1" x14ac:dyDescent="0.25">
      <c r="A109" s="161"/>
      <c r="B109" s="453"/>
      <c r="C109" s="454"/>
      <c r="D109" s="455"/>
      <c r="E109" s="150" t="s">
        <v>286</v>
      </c>
      <c r="F109" s="249"/>
      <c r="G109" s="180" t="s">
        <v>152</v>
      </c>
      <c r="H109" s="181" t="s">
        <v>152</v>
      </c>
      <c r="I109" s="181" t="s">
        <v>152</v>
      </c>
      <c r="J109" s="182" t="s">
        <v>152</v>
      </c>
      <c r="K109" s="453"/>
      <c r="L109" s="453"/>
      <c r="M109" s="456"/>
      <c r="N109" s="445"/>
      <c r="O109" s="435"/>
      <c r="P109" s="435"/>
      <c r="Q109" s="435"/>
      <c r="R109" s="435"/>
      <c r="S109" s="435"/>
      <c r="T109" s="435"/>
      <c r="U109" s="435"/>
      <c r="V109" s="441"/>
      <c r="W109" s="439"/>
      <c r="X109" s="435"/>
      <c r="Y109" s="435"/>
      <c r="Z109" s="435"/>
      <c r="AA109" s="441"/>
      <c r="AB109" s="439"/>
      <c r="AC109" s="435"/>
      <c r="AD109" s="435"/>
      <c r="AE109" s="435"/>
      <c r="AF109" s="441"/>
      <c r="AG109" s="439"/>
      <c r="AH109" s="435"/>
      <c r="AI109" s="435"/>
      <c r="AJ109" s="435"/>
      <c r="AK109" s="441"/>
      <c r="AL109" s="439"/>
      <c r="AM109" s="435"/>
      <c r="AN109" s="435"/>
      <c r="AO109" s="441"/>
      <c r="AP109" s="439"/>
      <c r="AQ109" s="435"/>
      <c r="AR109" s="437"/>
    </row>
    <row r="110" spans="1:44" ht="39" customHeight="1" x14ac:dyDescent="0.25">
      <c r="A110" s="161"/>
      <c r="B110" s="202">
        <v>12.3</v>
      </c>
      <c r="C110" s="203" t="s">
        <v>287</v>
      </c>
      <c r="D110" s="242"/>
      <c r="E110" s="154" t="s">
        <v>288</v>
      </c>
      <c r="F110" s="251"/>
      <c r="G110" s="177" t="s">
        <v>152</v>
      </c>
      <c r="H110" s="178" t="s">
        <v>152</v>
      </c>
      <c r="I110" s="178" t="s">
        <v>152</v>
      </c>
      <c r="J110" s="186" t="s">
        <v>152</v>
      </c>
      <c r="K110" s="202" cm="1">
        <f t="array" ref="K110">SUMPRODUCT(IFERROR(VLOOKUP(N110:AR110,'Response Options'!$D$5:$E$10,2,FALSE),0))/COUNTA(N110:AR110)</f>
        <v>2.5</v>
      </c>
      <c r="L110" s="202">
        <f t="shared" si="2"/>
        <v>3</v>
      </c>
      <c r="M110" s="201" t="str">
        <f>_xlfn.XLOOKUP(L110,'Response Options'!$E$5:$E$10,'Response Options'!$D$5:$D$10)</f>
        <v>Very Important</v>
      </c>
      <c r="N110" s="199"/>
      <c r="O110" s="197"/>
      <c r="P110" s="197"/>
      <c r="Q110" s="197"/>
      <c r="R110" s="197"/>
      <c r="S110" s="197"/>
      <c r="T110" s="197"/>
      <c r="U110" s="197"/>
      <c r="V110" s="200"/>
      <c r="W110" s="199" t="str">
        <f>'Outcome Priotization'!F21</f>
        <v>Extremely Important</v>
      </c>
      <c r="X110" s="197"/>
      <c r="Y110" s="197"/>
      <c r="Z110" s="197"/>
      <c r="AA110" s="200"/>
      <c r="AB110" s="199"/>
      <c r="AC110" s="197"/>
      <c r="AD110" s="197"/>
      <c r="AE110" s="197"/>
      <c r="AF110" s="200"/>
      <c r="AG110" s="199"/>
      <c r="AH110" s="197"/>
      <c r="AI110" s="197"/>
      <c r="AJ110" s="197"/>
      <c r="AK110" s="200" t="str">
        <f>'Outcome Priotization'!F35</f>
        <v>Slightly important</v>
      </c>
      <c r="AL110" s="199"/>
      <c r="AM110" s="197"/>
      <c r="AN110" s="197"/>
      <c r="AO110" s="200"/>
      <c r="AP110" s="199"/>
      <c r="AQ110" s="197"/>
      <c r="AR110" s="198"/>
    </row>
    <row r="111" spans="1:44" ht="18.75" customHeight="1" x14ac:dyDescent="0.25">
      <c r="A111" s="161"/>
      <c r="B111" s="132"/>
      <c r="C111" s="144" t="s">
        <v>289</v>
      </c>
      <c r="D111" s="240"/>
      <c r="E111" s="146"/>
      <c r="F111" s="246"/>
      <c r="G111" s="187"/>
      <c r="H111" s="188"/>
      <c r="I111" s="188"/>
      <c r="J111" s="63"/>
      <c r="K111" s="132"/>
      <c r="L111" s="132"/>
      <c r="M111" s="145"/>
      <c r="N111" s="109"/>
      <c r="O111" s="110"/>
      <c r="P111" s="110"/>
      <c r="Q111" s="110"/>
      <c r="R111" s="110"/>
      <c r="S111" s="110"/>
      <c r="T111" s="110"/>
      <c r="U111" s="110"/>
      <c r="V111" s="111"/>
      <c r="W111" s="109"/>
      <c r="X111" s="110"/>
      <c r="Y111" s="110"/>
      <c r="Z111" s="110"/>
      <c r="AA111" s="111"/>
      <c r="AB111" s="109"/>
      <c r="AC111" s="110"/>
      <c r="AD111" s="110"/>
      <c r="AE111" s="110"/>
      <c r="AF111" s="111"/>
      <c r="AG111" s="109"/>
      <c r="AH111" s="110"/>
      <c r="AI111" s="110"/>
      <c r="AJ111" s="110"/>
      <c r="AK111" s="111"/>
      <c r="AL111" s="109"/>
      <c r="AM111" s="110"/>
      <c r="AN111" s="110"/>
      <c r="AO111" s="111"/>
      <c r="AP111" s="109"/>
      <c r="AQ111" s="110"/>
      <c r="AR111" s="112"/>
    </row>
    <row r="112" spans="1:44" s="44" customFormat="1" ht="13.5" customHeight="1" x14ac:dyDescent="0.25">
      <c r="A112" s="165"/>
      <c r="B112" s="162">
        <v>13</v>
      </c>
      <c r="C112" s="147" t="s">
        <v>290</v>
      </c>
      <c r="D112" s="245"/>
      <c r="E112" s="158"/>
      <c r="F112" s="253"/>
      <c r="G112" s="191"/>
      <c r="H112" s="192"/>
      <c r="I112" s="192"/>
      <c r="J112" s="193"/>
      <c r="K112" s="135"/>
      <c r="L112" s="135"/>
      <c r="M112" s="157"/>
      <c r="N112" s="113"/>
      <c r="O112" s="114"/>
      <c r="P112" s="114"/>
      <c r="Q112" s="114"/>
      <c r="R112" s="114"/>
      <c r="S112" s="114"/>
      <c r="T112" s="114"/>
      <c r="U112" s="114"/>
      <c r="V112" s="115"/>
      <c r="W112" s="113"/>
      <c r="X112" s="114"/>
      <c r="Y112" s="114"/>
      <c r="Z112" s="114"/>
      <c r="AA112" s="115"/>
      <c r="AB112" s="113"/>
      <c r="AC112" s="114"/>
      <c r="AD112" s="114"/>
      <c r="AE112" s="114"/>
      <c r="AF112" s="115"/>
      <c r="AG112" s="113"/>
      <c r="AH112" s="114"/>
      <c r="AI112" s="114"/>
      <c r="AJ112" s="114"/>
      <c r="AK112" s="115"/>
      <c r="AL112" s="113"/>
      <c r="AM112" s="114"/>
      <c r="AN112" s="114"/>
      <c r="AO112" s="115"/>
      <c r="AP112" s="113"/>
      <c r="AQ112" s="114"/>
      <c r="AR112" s="116"/>
    </row>
    <row r="113" spans="1:44" ht="32.25" customHeight="1" x14ac:dyDescent="0.25">
      <c r="A113" s="161"/>
      <c r="B113" s="447">
        <v>13.1</v>
      </c>
      <c r="C113" s="449" t="s">
        <v>291</v>
      </c>
      <c r="D113" s="451"/>
      <c r="E113" s="154" t="s">
        <v>292</v>
      </c>
      <c r="F113" s="251"/>
      <c r="G113" s="177" t="s">
        <v>152</v>
      </c>
      <c r="H113" s="178" t="s">
        <v>152</v>
      </c>
      <c r="I113" s="178" t="s">
        <v>152</v>
      </c>
      <c r="J113" s="186" t="s">
        <v>152</v>
      </c>
      <c r="K113" s="447" cm="1">
        <f t="array" ref="K113">SUMPRODUCT(IFERROR(VLOOKUP(N113:AR113,'Response Options'!$D$5:$E$10,2,FALSE),0))/COUNTA(N113:AR113)</f>
        <v>3.75</v>
      </c>
      <c r="L113" s="447">
        <f t="shared" si="2"/>
        <v>4</v>
      </c>
      <c r="M113" s="443" t="str">
        <f>_xlfn.XLOOKUP(L113,'Response Options'!$E$5:$E$10,'Response Options'!$D$5:$D$10)</f>
        <v>Extremely Important</v>
      </c>
      <c r="N113" s="445" t="str">
        <f>'Outcome Priotization'!$F$12</f>
        <v>Critically Important / Essential</v>
      </c>
      <c r="O113" s="435" t="str">
        <f>'Outcome Priotization'!F13</f>
        <v>Moderately Important</v>
      </c>
      <c r="P113" s="435" t="str">
        <f>'Outcome Priotization'!F14</f>
        <v>Critically Important / Essential</v>
      </c>
      <c r="Q113" s="435" t="str">
        <f>'Outcome Priotization'!F15</f>
        <v>Slightly important</v>
      </c>
      <c r="R113" s="435" t="str">
        <f>'Outcome Priotization'!F16</f>
        <v>Critically Important / Essential</v>
      </c>
      <c r="S113" s="435" t="str">
        <f>'Outcome Priotization'!F17</f>
        <v>Very Important</v>
      </c>
      <c r="T113" s="435" t="str">
        <f>'Outcome Priotization'!F18</f>
        <v>Critically Important / Essential</v>
      </c>
      <c r="U113" s="435" t="str">
        <f>'Outcome Priotization'!F19</f>
        <v>Critically Important / Essential</v>
      </c>
      <c r="V113" s="441"/>
      <c r="W113" s="439" t="str">
        <f>'Outcome Priotization'!F21</f>
        <v>Extremely Important</v>
      </c>
      <c r="X113" s="435"/>
      <c r="Y113" s="435"/>
      <c r="Z113" s="435" t="str">
        <f>'Outcome Priotization'!F24</f>
        <v>Critically Important / Essential</v>
      </c>
      <c r="AA113" s="441"/>
      <c r="AB113" s="439" t="str">
        <f>'Outcome Priotization'!F26</f>
        <v>Extremely Important</v>
      </c>
      <c r="AC113" s="435"/>
      <c r="AD113" s="435" t="str">
        <f>'Outcome Priotization'!F28</f>
        <v>Slightly unimportant</v>
      </c>
      <c r="AE113" s="435"/>
      <c r="AF113" s="441"/>
      <c r="AG113" s="439"/>
      <c r="AH113" s="435"/>
      <c r="AI113" s="435" t="str">
        <f>'Outcome Priotization'!F33</f>
        <v>Critically Important / Essential</v>
      </c>
      <c r="AJ113" s="435"/>
      <c r="AK113" s="441"/>
      <c r="AL113" s="439"/>
      <c r="AM113" s="435" t="str">
        <f>'Outcome Priotization'!F37</f>
        <v>Extremely Important</v>
      </c>
      <c r="AN113" s="435"/>
      <c r="AO113" s="441"/>
      <c r="AP113" s="439"/>
      <c r="AQ113" s="435" t="str">
        <f>'Outcome Priotization'!F41</f>
        <v>Critically Important / Essential</v>
      </c>
      <c r="AR113" s="437" t="str">
        <f>'Outcome Priotization'!F42</f>
        <v>Moderately Important</v>
      </c>
    </row>
    <row r="114" spans="1:44" ht="32.25" customHeight="1" x14ac:dyDescent="0.25">
      <c r="A114" s="161"/>
      <c r="B114" s="448"/>
      <c r="C114" s="450"/>
      <c r="D114" s="452"/>
      <c r="E114" s="159" t="s">
        <v>293</v>
      </c>
      <c r="F114" s="254"/>
      <c r="G114" s="194" t="s">
        <v>152</v>
      </c>
      <c r="H114" s="195" t="s">
        <v>152</v>
      </c>
      <c r="I114" s="195" t="s">
        <v>152</v>
      </c>
      <c r="J114" s="196" t="s">
        <v>152</v>
      </c>
      <c r="K114" s="448"/>
      <c r="L114" s="448"/>
      <c r="M114" s="444"/>
      <c r="N114" s="446"/>
      <c r="O114" s="436"/>
      <c r="P114" s="436"/>
      <c r="Q114" s="436"/>
      <c r="R114" s="436"/>
      <c r="S114" s="436"/>
      <c r="T114" s="436"/>
      <c r="U114" s="436"/>
      <c r="V114" s="442"/>
      <c r="W114" s="440"/>
      <c r="X114" s="436"/>
      <c r="Y114" s="436"/>
      <c r="Z114" s="436"/>
      <c r="AA114" s="442"/>
      <c r="AB114" s="440"/>
      <c r="AC114" s="436"/>
      <c r="AD114" s="436"/>
      <c r="AE114" s="436"/>
      <c r="AF114" s="442"/>
      <c r="AG114" s="440"/>
      <c r="AH114" s="436"/>
      <c r="AI114" s="436"/>
      <c r="AJ114" s="436"/>
      <c r="AK114" s="442"/>
      <c r="AL114" s="440"/>
      <c r="AM114" s="436"/>
      <c r="AN114" s="436"/>
      <c r="AO114" s="442"/>
      <c r="AP114" s="440"/>
      <c r="AQ114" s="436"/>
      <c r="AR114" s="438"/>
    </row>
    <row r="115" spans="1:44" ht="32.25" customHeight="1" x14ac:dyDescent="0.25">
      <c r="N115" s="197"/>
      <c r="O115" s="197"/>
      <c r="P115" s="197"/>
      <c r="Q115" s="197"/>
      <c r="R115" s="197"/>
      <c r="S115" s="197"/>
      <c r="T115" s="197"/>
      <c r="U115" s="197"/>
      <c r="V115" s="197"/>
      <c r="W115" s="197"/>
      <c r="X115" s="197"/>
      <c r="Y115" s="197"/>
      <c r="Z115" s="197"/>
      <c r="AA115" s="197"/>
      <c r="AB115" s="197"/>
      <c r="AC115" s="197"/>
      <c r="AD115" s="197"/>
      <c r="AE115" s="197"/>
      <c r="AF115" s="197"/>
      <c r="AG115" s="197"/>
      <c r="AH115" s="197"/>
      <c r="AI115" s="197"/>
      <c r="AJ115" s="197"/>
      <c r="AK115" s="197"/>
      <c r="AL115" s="197"/>
      <c r="AM115" s="197"/>
      <c r="AN115" s="197"/>
      <c r="AO115" s="197"/>
      <c r="AP115" s="197"/>
      <c r="AQ115" s="197"/>
      <c r="AR115" s="197"/>
    </row>
    <row r="116" spans="1:44" ht="32.25" customHeight="1" x14ac:dyDescent="0.25">
      <c r="D116" s="490" t="s">
        <v>294</v>
      </c>
      <c r="E116" s="491"/>
      <c r="F116" s="169"/>
      <c r="G116" s="169"/>
      <c r="H116" s="169"/>
      <c r="I116" s="169"/>
      <c r="N116" s="197"/>
      <c r="O116" s="197"/>
      <c r="P116" s="197"/>
      <c r="Q116" s="197"/>
      <c r="R116" s="197"/>
      <c r="S116" s="197"/>
      <c r="T116" s="197"/>
      <c r="U116" s="197"/>
      <c r="V116" s="197"/>
      <c r="W116" s="197"/>
      <c r="X116" s="197"/>
      <c r="Y116" s="197"/>
      <c r="Z116" s="197"/>
      <c r="AA116" s="197"/>
      <c r="AB116" s="197"/>
      <c r="AC116" s="197"/>
      <c r="AD116" s="197"/>
      <c r="AE116" s="197"/>
      <c r="AF116" s="197"/>
      <c r="AG116" s="197"/>
      <c r="AH116" s="197"/>
      <c r="AI116" s="197"/>
      <c r="AJ116" s="197"/>
      <c r="AK116" s="197"/>
      <c r="AL116" s="197"/>
      <c r="AM116" s="197"/>
      <c r="AN116" s="197"/>
      <c r="AO116" s="197"/>
      <c r="AP116" s="197"/>
      <c r="AQ116" s="197"/>
      <c r="AR116" s="197"/>
    </row>
    <row r="117" spans="1:44" ht="32.25" customHeight="1" x14ac:dyDescent="0.25">
      <c r="D117" s="167" t="s">
        <v>295</v>
      </c>
      <c r="E117" s="167" t="s">
        <v>296</v>
      </c>
      <c r="F117" s="168"/>
      <c r="G117" s="168"/>
      <c r="H117" s="168"/>
      <c r="I117" s="168"/>
      <c r="N117" s="197"/>
      <c r="O117" s="197"/>
      <c r="P117" s="197"/>
      <c r="Q117" s="197"/>
      <c r="R117" s="197"/>
      <c r="S117" s="197"/>
      <c r="T117" s="197"/>
      <c r="U117" s="197"/>
      <c r="V117" s="197"/>
      <c r="W117" s="197"/>
      <c r="X117" s="197"/>
      <c r="Y117" s="197"/>
      <c r="Z117" s="197"/>
      <c r="AA117" s="197"/>
      <c r="AB117" s="197"/>
      <c r="AC117" s="197"/>
      <c r="AD117" s="197"/>
      <c r="AE117" s="197"/>
      <c r="AF117" s="197"/>
      <c r="AG117" s="197"/>
      <c r="AH117" s="197"/>
      <c r="AI117" s="197"/>
      <c r="AJ117" s="197"/>
      <c r="AK117" s="197"/>
      <c r="AL117" s="197"/>
      <c r="AM117" s="197"/>
      <c r="AN117" s="197"/>
      <c r="AO117" s="197"/>
      <c r="AP117" s="197"/>
      <c r="AQ117" s="197"/>
      <c r="AR117" s="197"/>
    </row>
    <row r="118" spans="1:44" ht="62.25" customHeight="1" x14ac:dyDescent="0.25">
      <c r="D118" s="167" t="s">
        <v>297</v>
      </c>
      <c r="E118" s="167" t="s">
        <v>298</v>
      </c>
      <c r="F118" s="168"/>
      <c r="G118" s="168"/>
      <c r="H118" s="168"/>
      <c r="I118" s="168"/>
      <c r="N118" s="197"/>
      <c r="O118" s="197"/>
      <c r="P118" s="197"/>
      <c r="Q118" s="197"/>
      <c r="R118" s="197"/>
      <c r="S118" s="197"/>
      <c r="T118" s="197"/>
      <c r="U118" s="197"/>
      <c r="V118" s="197"/>
      <c r="W118" s="197"/>
      <c r="X118" s="197"/>
      <c r="Y118" s="197"/>
      <c r="Z118" s="197"/>
      <c r="AA118" s="197"/>
      <c r="AB118" s="197"/>
      <c r="AC118" s="197"/>
      <c r="AD118" s="197"/>
      <c r="AE118" s="197"/>
      <c r="AF118" s="197"/>
      <c r="AG118" s="197"/>
      <c r="AH118" s="197"/>
      <c r="AI118" s="197"/>
      <c r="AJ118" s="197"/>
      <c r="AK118" s="197"/>
      <c r="AL118" s="197"/>
      <c r="AM118" s="197"/>
      <c r="AN118" s="197"/>
      <c r="AO118" s="197"/>
      <c r="AP118" s="197"/>
      <c r="AQ118" s="197"/>
      <c r="AR118" s="197"/>
    </row>
    <row r="119" spans="1:44" ht="54.75" customHeight="1" x14ac:dyDescent="0.25">
      <c r="D119" s="167" t="s">
        <v>299</v>
      </c>
      <c r="E119" s="167" t="s">
        <v>300</v>
      </c>
      <c r="F119" s="168"/>
      <c r="G119" s="168"/>
      <c r="H119" s="168"/>
      <c r="I119" s="168"/>
      <c r="N119" s="197"/>
      <c r="O119" s="197"/>
      <c r="P119" s="197"/>
      <c r="Q119" s="197"/>
      <c r="R119" s="197"/>
      <c r="S119" s="197"/>
      <c r="T119" s="197"/>
      <c r="U119" s="197"/>
      <c r="V119" s="197"/>
      <c r="W119" s="197"/>
      <c r="X119" s="197"/>
      <c r="Y119" s="197"/>
      <c r="Z119" s="197"/>
      <c r="AA119" s="197"/>
      <c r="AB119" s="197"/>
      <c r="AC119" s="197"/>
      <c r="AD119" s="197"/>
      <c r="AE119" s="197"/>
      <c r="AF119" s="197"/>
      <c r="AG119" s="197"/>
      <c r="AH119" s="197"/>
      <c r="AI119" s="197"/>
      <c r="AJ119" s="197"/>
      <c r="AK119" s="197"/>
      <c r="AL119" s="197"/>
      <c r="AM119" s="197"/>
      <c r="AN119" s="197"/>
      <c r="AO119" s="197"/>
      <c r="AP119" s="197"/>
      <c r="AQ119" s="197"/>
      <c r="AR119" s="197"/>
    </row>
    <row r="120" spans="1:44" ht="47.25" customHeight="1" x14ac:dyDescent="0.25">
      <c r="D120" s="167" t="s">
        <v>301</v>
      </c>
      <c r="E120" s="167" t="s">
        <v>302</v>
      </c>
      <c r="F120" s="168"/>
      <c r="G120" s="168"/>
      <c r="H120" s="168"/>
      <c r="I120" s="168"/>
      <c r="N120" s="197"/>
      <c r="O120" s="197"/>
      <c r="P120" s="197"/>
      <c r="Q120" s="197"/>
      <c r="R120" s="197"/>
      <c r="S120" s="197"/>
      <c r="T120" s="197"/>
      <c r="U120" s="197"/>
      <c r="V120" s="197"/>
      <c r="W120" s="197"/>
      <c r="X120" s="197"/>
      <c r="Y120" s="197"/>
      <c r="Z120" s="197"/>
      <c r="AA120" s="197"/>
      <c r="AB120" s="197"/>
      <c r="AC120" s="197"/>
      <c r="AD120" s="197"/>
      <c r="AE120" s="197"/>
      <c r="AF120" s="197"/>
      <c r="AG120" s="197"/>
      <c r="AH120" s="197"/>
      <c r="AI120" s="197"/>
      <c r="AJ120" s="197"/>
      <c r="AK120" s="197"/>
      <c r="AL120" s="197"/>
      <c r="AM120" s="197"/>
      <c r="AN120" s="197"/>
      <c r="AO120" s="197"/>
      <c r="AP120" s="197"/>
      <c r="AQ120" s="197"/>
      <c r="AR120" s="197"/>
    </row>
    <row r="121" spans="1:44" ht="32.25" customHeight="1" x14ac:dyDescent="0.25">
      <c r="N121" s="197"/>
      <c r="O121" s="197"/>
      <c r="P121" s="197"/>
      <c r="Q121" s="197"/>
      <c r="R121" s="197"/>
      <c r="S121" s="197"/>
      <c r="T121" s="197"/>
      <c r="U121" s="197"/>
      <c r="V121" s="197"/>
      <c r="W121" s="197"/>
      <c r="X121" s="197"/>
      <c r="Y121" s="197"/>
      <c r="Z121" s="197"/>
      <c r="AA121" s="197"/>
      <c r="AB121" s="197"/>
      <c r="AC121" s="197"/>
      <c r="AD121" s="197"/>
      <c r="AE121" s="197"/>
      <c r="AF121" s="197"/>
      <c r="AG121" s="197"/>
      <c r="AH121" s="197"/>
      <c r="AI121" s="197"/>
      <c r="AJ121" s="197"/>
      <c r="AK121" s="197"/>
      <c r="AL121" s="197"/>
      <c r="AM121" s="197"/>
      <c r="AN121" s="197"/>
      <c r="AO121" s="197"/>
      <c r="AP121" s="197"/>
      <c r="AQ121" s="197"/>
      <c r="AR121" s="197"/>
    </row>
    <row r="122" spans="1:44" ht="32.25" customHeight="1" x14ac:dyDescent="0.25">
      <c r="N122" s="197"/>
      <c r="O122" s="197"/>
      <c r="P122" s="197"/>
      <c r="Q122" s="197"/>
      <c r="R122" s="197"/>
      <c r="S122" s="197"/>
      <c r="T122" s="197"/>
      <c r="U122" s="197"/>
      <c r="V122" s="197"/>
      <c r="W122" s="197"/>
      <c r="X122" s="197"/>
      <c r="Y122" s="197"/>
      <c r="Z122" s="197"/>
      <c r="AA122" s="197"/>
      <c r="AB122" s="197"/>
      <c r="AC122" s="197"/>
      <c r="AD122" s="197"/>
      <c r="AE122" s="197"/>
      <c r="AF122" s="197"/>
      <c r="AG122" s="197"/>
      <c r="AH122" s="197"/>
      <c r="AI122" s="197"/>
      <c r="AJ122" s="197"/>
      <c r="AK122" s="197"/>
      <c r="AL122" s="197"/>
      <c r="AM122" s="197"/>
      <c r="AN122" s="197"/>
      <c r="AO122" s="197"/>
      <c r="AP122" s="197"/>
      <c r="AQ122" s="197"/>
      <c r="AR122" s="197"/>
    </row>
    <row r="123" spans="1:44" ht="32.25" customHeight="1" x14ac:dyDescent="0.25">
      <c r="N123" s="197"/>
      <c r="O123" s="197"/>
      <c r="P123" s="197"/>
      <c r="Q123" s="197"/>
      <c r="R123" s="197"/>
      <c r="S123" s="197"/>
      <c r="T123" s="197"/>
      <c r="U123" s="197"/>
      <c r="V123" s="197"/>
      <c r="W123" s="197"/>
      <c r="X123" s="197"/>
      <c r="Y123" s="197"/>
      <c r="Z123" s="197"/>
      <c r="AA123" s="197"/>
      <c r="AB123" s="197"/>
      <c r="AC123" s="197"/>
      <c r="AD123" s="197"/>
      <c r="AE123" s="197"/>
      <c r="AF123" s="197"/>
      <c r="AG123" s="197"/>
      <c r="AH123" s="197"/>
      <c r="AI123" s="197"/>
      <c r="AJ123" s="197"/>
      <c r="AK123" s="197"/>
      <c r="AL123" s="197"/>
      <c r="AM123" s="197"/>
      <c r="AN123" s="197"/>
      <c r="AO123" s="197"/>
      <c r="AP123" s="197"/>
      <c r="AQ123" s="197"/>
      <c r="AR123" s="197"/>
    </row>
    <row r="124" spans="1:44" ht="32.25" customHeight="1" x14ac:dyDescent="0.25">
      <c r="N124" s="197"/>
      <c r="O124" s="197"/>
      <c r="P124" s="197"/>
      <c r="Q124" s="197"/>
      <c r="R124" s="197"/>
      <c r="S124" s="197"/>
      <c r="T124" s="197"/>
      <c r="U124" s="197"/>
      <c r="V124" s="197"/>
      <c r="W124" s="197"/>
      <c r="X124" s="197"/>
      <c r="Y124" s="197"/>
      <c r="Z124" s="197"/>
      <c r="AA124" s="197"/>
      <c r="AB124" s="197"/>
      <c r="AC124" s="197"/>
      <c r="AD124" s="197"/>
      <c r="AE124" s="197"/>
      <c r="AF124" s="197"/>
      <c r="AG124" s="197"/>
      <c r="AH124" s="197"/>
      <c r="AI124" s="197"/>
      <c r="AJ124" s="197"/>
      <c r="AK124" s="197"/>
      <c r="AL124" s="197"/>
      <c r="AM124" s="197"/>
      <c r="AN124" s="197"/>
      <c r="AO124" s="197"/>
      <c r="AP124" s="197"/>
      <c r="AQ124" s="197"/>
      <c r="AR124" s="197"/>
    </row>
    <row r="125" spans="1:44" ht="32.25" customHeight="1" x14ac:dyDescent="0.25">
      <c r="N125" s="197"/>
      <c r="O125" s="197"/>
      <c r="P125" s="197"/>
      <c r="Q125" s="197"/>
      <c r="R125" s="197"/>
      <c r="S125" s="197"/>
      <c r="T125" s="197"/>
      <c r="U125" s="197"/>
      <c r="V125" s="197"/>
      <c r="W125" s="197"/>
      <c r="X125" s="197"/>
      <c r="Y125" s="197"/>
      <c r="Z125" s="197"/>
      <c r="AA125" s="197"/>
      <c r="AB125" s="197"/>
      <c r="AC125" s="197"/>
      <c r="AD125" s="197"/>
      <c r="AE125" s="197"/>
      <c r="AF125" s="197"/>
      <c r="AG125" s="197"/>
      <c r="AH125" s="197"/>
      <c r="AI125" s="197"/>
      <c r="AJ125" s="197"/>
      <c r="AK125" s="197"/>
      <c r="AL125" s="197"/>
      <c r="AM125" s="197"/>
      <c r="AN125" s="197"/>
      <c r="AO125" s="197"/>
      <c r="AP125" s="197"/>
      <c r="AQ125" s="197"/>
      <c r="AR125" s="197"/>
    </row>
  </sheetData>
  <autoFilter ref="A6:AT114" xr:uid="{AC185762-8413-46DD-862F-A1500D160667}">
    <filterColumn colId="1" showButton="0"/>
  </autoFilter>
  <mergeCells count="928">
    <mergeCell ref="D116:E116"/>
    <mergeCell ref="N4:AR4"/>
    <mergeCell ref="AL5:AO5"/>
    <mergeCell ref="AP5:AR5"/>
    <mergeCell ref="N5:V5"/>
    <mergeCell ref="W5:AA5"/>
    <mergeCell ref="AB5:AF5"/>
    <mergeCell ref="AG5:AK5"/>
    <mergeCell ref="M9:M10"/>
    <mergeCell ref="D9:D10"/>
    <mergeCell ref="S9:S10"/>
    <mergeCell ref="T9:T10"/>
    <mergeCell ref="U9:U10"/>
    <mergeCell ref="V9:V10"/>
    <mergeCell ref="W9:W10"/>
    <mergeCell ref="N9:N10"/>
    <mergeCell ref="O9:O10"/>
    <mergeCell ref="P9:P10"/>
    <mergeCell ref="AK9:AK10"/>
    <mergeCell ref="AL9:AL10"/>
    <mergeCell ref="AC9:AC10"/>
    <mergeCell ref="AD9:AD10"/>
    <mergeCell ref="AE9:AE10"/>
    <mergeCell ref="W13:W16"/>
    <mergeCell ref="AF9:AF10"/>
    <mergeCell ref="AG9:AG10"/>
    <mergeCell ref="X9:X10"/>
    <mergeCell ref="Y9:Y10"/>
    <mergeCell ref="Z9:Z10"/>
    <mergeCell ref="AA9:AA10"/>
    <mergeCell ref="AB9:AB10"/>
    <mergeCell ref="Q9:Q10"/>
    <mergeCell ref="R9:R10"/>
    <mergeCell ref="L13:L16"/>
    <mergeCell ref="M13:M16"/>
    <mergeCell ref="N13:N16"/>
    <mergeCell ref="O13:O16"/>
    <mergeCell ref="P13:P16"/>
    <mergeCell ref="Q13:Q16"/>
    <mergeCell ref="C13:C16"/>
    <mergeCell ref="B13:B16"/>
    <mergeCell ref="C9:C10"/>
    <mergeCell ref="B9:B10"/>
    <mergeCell ref="K9:K10"/>
    <mergeCell ref="L9:L10"/>
    <mergeCell ref="M4:M6"/>
    <mergeCell ref="K4:K6"/>
    <mergeCell ref="L4:L6"/>
    <mergeCell ref="B4:C6"/>
    <mergeCell ref="D4:D6"/>
    <mergeCell ref="E4:E6"/>
    <mergeCell ref="F4:F6"/>
    <mergeCell ref="G4:J4"/>
    <mergeCell ref="G5:G6"/>
    <mergeCell ref="H5:H6"/>
    <mergeCell ref="I5:I6"/>
    <mergeCell ref="J5:J6"/>
    <mergeCell ref="AR9:AR10"/>
    <mergeCell ref="D13:D16"/>
    <mergeCell ref="R13:R16"/>
    <mergeCell ref="S13:S16"/>
    <mergeCell ref="T13:T16"/>
    <mergeCell ref="U13:U16"/>
    <mergeCell ref="V13:V16"/>
    <mergeCell ref="AM9:AM10"/>
    <mergeCell ref="AN9:AN10"/>
    <mergeCell ref="AO9:AO10"/>
    <mergeCell ref="AP9:AP10"/>
    <mergeCell ref="AQ9:AQ10"/>
    <mergeCell ref="AH9:AH10"/>
    <mergeCell ref="AI9:AI10"/>
    <mergeCell ref="AJ9:AJ10"/>
    <mergeCell ref="AK13:AK16"/>
    <mergeCell ref="AB13:AB16"/>
    <mergeCell ref="AQ13:AQ16"/>
    <mergeCell ref="AR13:AR16"/>
    <mergeCell ref="AE13:AE16"/>
    <mergeCell ref="AF13:AF16"/>
    <mergeCell ref="X13:X16"/>
    <mergeCell ref="Y13:Y16"/>
    <mergeCell ref="K13:K16"/>
    <mergeCell ref="D19:D21"/>
    <mergeCell ref="C19:C21"/>
    <mergeCell ref="B19:B21"/>
    <mergeCell ref="K19:K21"/>
    <mergeCell ref="L19:L21"/>
    <mergeCell ref="M19:M21"/>
    <mergeCell ref="N19:N21"/>
    <mergeCell ref="O19:O21"/>
    <mergeCell ref="P19:P21"/>
    <mergeCell ref="Q19:Q21"/>
    <mergeCell ref="R19:R21"/>
    <mergeCell ref="S19:S21"/>
    <mergeCell ref="T19:T21"/>
    <mergeCell ref="AL13:AL16"/>
    <mergeCell ref="AM13:AM16"/>
    <mergeCell ref="AN13:AN16"/>
    <mergeCell ref="AO13:AO16"/>
    <mergeCell ref="AP13:AP16"/>
    <mergeCell ref="AG13:AG16"/>
    <mergeCell ref="AH13:AH16"/>
    <mergeCell ref="AI13:AI16"/>
    <mergeCell ref="AJ13:AJ16"/>
    <mergeCell ref="AH19:AH21"/>
    <mergeCell ref="AI19:AI21"/>
    <mergeCell ref="Z19:Z21"/>
    <mergeCell ref="AA19:AA21"/>
    <mergeCell ref="AB19:AB21"/>
    <mergeCell ref="AC19:AC21"/>
    <mergeCell ref="AD19:AD21"/>
    <mergeCell ref="Z13:Z16"/>
    <mergeCell ref="AA13:AA16"/>
    <mergeCell ref="AC13:AC16"/>
    <mergeCell ref="AD13:AD16"/>
    <mergeCell ref="U19:U21"/>
    <mergeCell ref="V19:V21"/>
    <mergeCell ref="W19:W21"/>
    <mergeCell ref="X19:X21"/>
    <mergeCell ref="Y19:Y21"/>
    <mergeCell ref="AO19:AO21"/>
    <mergeCell ref="AP19:AP21"/>
    <mergeCell ref="AQ19:AQ21"/>
    <mergeCell ref="AR19:AR21"/>
    <mergeCell ref="D23:D27"/>
    <mergeCell ref="N23:N27"/>
    <mergeCell ref="O23:O27"/>
    <mergeCell ref="P23:P27"/>
    <mergeCell ref="Q23:Q27"/>
    <mergeCell ref="R23:R27"/>
    <mergeCell ref="S23:S27"/>
    <mergeCell ref="T23:T27"/>
    <mergeCell ref="U23:U27"/>
    <mergeCell ref="V23:V27"/>
    <mergeCell ref="W23:W27"/>
    <mergeCell ref="X23:X27"/>
    <mergeCell ref="AJ19:AJ21"/>
    <mergeCell ref="AK19:AK21"/>
    <mergeCell ref="AL19:AL21"/>
    <mergeCell ref="AM19:AM21"/>
    <mergeCell ref="AN19:AN21"/>
    <mergeCell ref="AE19:AE21"/>
    <mergeCell ref="AF19:AF21"/>
    <mergeCell ref="AG19:AG21"/>
    <mergeCell ref="AR23:AR27"/>
    <mergeCell ref="AI23:AI27"/>
    <mergeCell ref="AJ23:AJ27"/>
    <mergeCell ref="AK23:AK27"/>
    <mergeCell ref="AL23:AL27"/>
    <mergeCell ref="AM23:AM27"/>
    <mergeCell ref="AD23:AD27"/>
    <mergeCell ref="AE23:AE27"/>
    <mergeCell ref="AF23:AF27"/>
    <mergeCell ref="AG23:AG27"/>
    <mergeCell ref="AH23:AH27"/>
    <mergeCell ref="D28:D29"/>
    <mergeCell ref="C28:C29"/>
    <mergeCell ref="B28:B29"/>
    <mergeCell ref="K28:K29"/>
    <mergeCell ref="L28:L29"/>
    <mergeCell ref="AN23:AN27"/>
    <mergeCell ref="AO23:AO27"/>
    <mergeCell ref="AP23:AP27"/>
    <mergeCell ref="AQ23:AQ27"/>
    <mergeCell ref="Y23:Y27"/>
    <mergeCell ref="Z23:Z27"/>
    <mergeCell ref="AA23:AA27"/>
    <mergeCell ref="AB23:AB27"/>
    <mergeCell ref="AC23:AC27"/>
    <mergeCell ref="C23:C27"/>
    <mergeCell ref="B23:B27"/>
    <mergeCell ref="K23:K27"/>
    <mergeCell ref="L23:L27"/>
    <mergeCell ref="M23:M27"/>
    <mergeCell ref="R28:R29"/>
    <mergeCell ref="S28:S29"/>
    <mergeCell ref="T28:T29"/>
    <mergeCell ref="U28:U29"/>
    <mergeCell ref="V28:V29"/>
    <mergeCell ref="M28:M29"/>
    <mergeCell ref="N28:N29"/>
    <mergeCell ref="O28:O29"/>
    <mergeCell ref="P28:P29"/>
    <mergeCell ref="Q28:Q29"/>
    <mergeCell ref="AJ28:AJ29"/>
    <mergeCell ref="AK28:AK29"/>
    <mergeCell ref="AB28:AB29"/>
    <mergeCell ref="AC28:AC29"/>
    <mergeCell ref="AD28:AD29"/>
    <mergeCell ref="AE28:AE29"/>
    <mergeCell ref="AF28:AF29"/>
    <mergeCell ref="W28:W29"/>
    <mergeCell ref="X28:X29"/>
    <mergeCell ref="Y28:Y29"/>
    <mergeCell ref="Z28:Z29"/>
    <mergeCell ref="AA28:AA29"/>
    <mergeCell ref="AQ28:AQ29"/>
    <mergeCell ref="AR28:AR29"/>
    <mergeCell ref="D30:D34"/>
    <mergeCell ref="C30:C34"/>
    <mergeCell ref="B30:B34"/>
    <mergeCell ref="K30:K34"/>
    <mergeCell ref="L30:L34"/>
    <mergeCell ref="M30:M34"/>
    <mergeCell ref="N30:N34"/>
    <mergeCell ref="O30:O34"/>
    <mergeCell ref="P30:P34"/>
    <mergeCell ref="Q30:Q34"/>
    <mergeCell ref="R30:R34"/>
    <mergeCell ref="S30:S34"/>
    <mergeCell ref="T30:T34"/>
    <mergeCell ref="U30:U34"/>
    <mergeCell ref="AL28:AL29"/>
    <mergeCell ref="AM28:AM29"/>
    <mergeCell ref="AN28:AN29"/>
    <mergeCell ref="AO28:AO29"/>
    <mergeCell ref="AP28:AP29"/>
    <mergeCell ref="AG28:AG29"/>
    <mergeCell ref="AH28:AH29"/>
    <mergeCell ref="AI28:AI29"/>
    <mergeCell ref="AI30:AI34"/>
    <mergeCell ref="AJ30:AJ34"/>
    <mergeCell ref="AA30:AA34"/>
    <mergeCell ref="AB30:AB34"/>
    <mergeCell ref="AC30:AC34"/>
    <mergeCell ref="AD30:AD34"/>
    <mergeCell ref="AE30:AE34"/>
    <mergeCell ref="V30:V34"/>
    <mergeCell ref="W30:W34"/>
    <mergeCell ref="X30:X34"/>
    <mergeCell ref="Y30:Y34"/>
    <mergeCell ref="Z30:Z34"/>
    <mergeCell ref="AP30:AP34"/>
    <mergeCell ref="AQ30:AQ34"/>
    <mergeCell ref="AR30:AR34"/>
    <mergeCell ref="C41:C42"/>
    <mergeCell ref="B41:B42"/>
    <mergeCell ref="D41:D42"/>
    <mergeCell ref="K41:K42"/>
    <mergeCell ref="L41:L42"/>
    <mergeCell ref="M41:M42"/>
    <mergeCell ref="N41:N42"/>
    <mergeCell ref="O41:O42"/>
    <mergeCell ref="P41:P42"/>
    <mergeCell ref="Q41:Q42"/>
    <mergeCell ref="R41:R42"/>
    <mergeCell ref="S41:S42"/>
    <mergeCell ref="T41:T42"/>
    <mergeCell ref="AK30:AK34"/>
    <mergeCell ref="AL30:AL34"/>
    <mergeCell ref="AM30:AM34"/>
    <mergeCell ref="AN30:AN34"/>
    <mergeCell ref="AO30:AO34"/>
    <mergeCell ref="AF30:AF34"/>
    <mergeCell ref="AG30:AG34"/>
    <mergeCell ref="AH30:AH34"/>
    <mergeCell ref="Z41:Z42"/>
    <mergeCell ref="AA41:AA42"/>
    <mergeCell ref="B47:B49"/>
    <mergeCell ref="C47:C49"/>
    <mergeCell ref="D47:D49"/>
    <mergeCell ref="K47:K49"/>
    <mergeCell ref="L47:L49"/>
    <mergeCell ref="M47:M49"/>
    <mergeCell ref="N47:N49"/>
    <mergeCell ref="O47:O49"/>
    <mergeCell ref="P47:P49"/>
    <mergeCell ref="Q47:Q49"/>
    <mergeCell ref="R47:R49"/>
    <mergeCell ref="S47:S49"/>
    <mergeCell ref="T47:T49"/>
    <mergeCell ref="U47:U49"/>
    <mergeCell ref="U41:U42"/>
    <mergeCell ref="V41:V42"/>
    <mergeCell ref="W41:W42"/>
    <mergeCell ref="X41:X42"/>
    <mergeCell ref="Y41:Y42"/>
    <mergeCell ref="AI47:AI49"/>
    <mergeCell ref="AJ47:AJ49"/>
    <mergeCell ref="AA47:AA49"/>
    <mergeCell ref="AB47:AB49"/>
    <mergeCell ref="AC47:AC49"/>
    <mergeCell ref="AD47:AD49"/>
    <mergeCell ref="AE47:AE49"/>
    <mergeCell ref="V47:V49"/>
    <mergeCell ref="W47:W49"/>
    <mergeCell ref="X47:X49"/>
    <mergeCell ref="Y47:Y49"/>
    <mergeCell ref="Z47:Z49"/>
    <mergeCell ref="AP47:AP49"/>
    <mergeCell ref="AQ47:AQ49"/>
    <mergeCell ref="AR47:AR49"/>
    <mergeCell ref="C51:C53"/>
    <mergeCell ref="B51:B53"/>
    <mergeCell ref="D51:D53"/>
    <mergeCell ref="K51:K53"/>
    <mergeCell ref="L51:L53"/>
    <mergeCell ref="M51:M53"/>
    <mergeCell ref="N51:N53"/>
    <mergeCell ref="O51:O53"/>
    <mergeCell ref="P51:P53"/>
    <mergeCell ref="Q51:Q53"/>
    <mergeCell ref="R51:R53"/>
    <mergeCell ref="S51:S53"/>
    <mergeCell ref="T51:T53"/>
    <mergeCell ref="AK47:AK49"/>
    <mergeCell ref="AL47:AL49"/>
    <mergeCell ref="AM47:AM49"/>
    <mergeCell ref="AN47:AN49"/>
    <mergeCell ref="AO47:AO49"/>
    <mergeCell ref="AF47:AF49"/>
    <mergeCell ref="AG47:AG49"/>
    <mergeCell ref="AH47:AH49"/>
    <mergeCell ref="AR51:AR53"/>
    <mergeCell ref="AI51:AI53"/>
    <mergeCell ref="AJ51:AJ53"/>
    <mergeCell ref="AK51:AK53"/>
    <mergeCell ref="AL51:AL53"/>
    <mergeCell ref="AM51:AM53"/>
    <mergeCell ref="AD51:AD53"/>
    <mergeCell ref="AE51:AE53"/>
    <mergeCell ref="AF51:AF53"/>
    <mergeCell ref="AG51:AG53"/>
    <mergeCell ref="AH51:AH53"/>
    <mergeCell ref="D54:D57"/>
    <mergeCell ref="C54:C57"/>
    <mergeCell ref="B54:B57"/>
    <mergeCell ref="K54:K57"/>
    <mergeCell ref="L54:L57"/>
    <mergeCell ref="AN51:AN53"/>
    <mergeCell ref="AO51:AO53"/>
    <mergeCell ref="AP51:AP53"/>
    <mergeCell ref="AQ51:AQ53"/>
    <mergeCell ref="Z51:Z53"/>
    <mergeCell ref="AA51:AA53"/>
    <mergeCell ref="AB51:AB53"/>
    <mergeCell ref="AC51:AC53"/>
    <mergeCell ref="U51:U53"/>
    <mergeCell ref="V51:V53"/>
    <mergeCell ref="W51:W53"/>
    <mergeCell ref="X51:X53"/>
    <mergeCell ref="Y51:Y53"/>
    <mergeCell ref="R54:R57"/>
    <mergeCell ref="S54:S57"/>
    <mergeCell ref="T54:T57"/>
    <mergeCell ref="U54:U57"/>
    <mergeCell ref="V54:V57"/>
    <mergeCell ref="M54:M57"/>
    <mergeCell ref="N54:N57"/>
    <mergeCell ref="O54:O57"/>
    <mergeCell ref="P54:P57"/>
    <mergeCell ref="Q54:Q57"/>
    <mergeCell ref="AJ54:AJ57"/>
    <mergeCell ref="AK54:AK57"/>
    <mergeCell ref="AB54:AB57"/>
    <mergeCell ref="AC54:AC57"/>
    <mergeCell ref="AD54:AD57"/>
    <mergeCell ref="AE54:AE57"/>
    <mergeCell ref="AF54:AF57"/>
    <mergeCell ref="W54:W57"/>
    <mergeCell ref="X54:X57"/>
    <mergeCell ref="Y54:Y57"/>
    <mergeCell ref="Z54:Z57"/>
    <mergeCell ref="AA54:AA57"/>
    <mergeCell ref="AQ54:AQ57"/>
    <mergeCell ref="AR54:AR57"/>
    <mergeCell ref="D58:D59"/>
    <mergeCell ref="C58:C59"/>
    <mergeCell ref="B58:B59"/>
    <mergeCell ref="K58:K59"/>
    <mergeCell ref="L58:L59"/>
    <mergeCell ref="M58:M59"/>
    <mergeCell ref="N58:N59"/>
    <mergeCell ref="O58:O59"/>
    <mergeCell ref="P58:P59"/>
    <mergeCell ref="Q58:Q59"/>
    <mergeCell ref="R58:R59"/>
    <mergeCell ref="S58:S59"/>
    <mergeCell ref="T58:T59"/>
    <mergeCell ref="U58:U59"/>
    <mergeCell ref="AL54:AL57"/>
    <mergeCell ref="AM54:AM57"/>
    <mergeCell ref="AN54:AN57"/>
    <mergeCell ref="AO54:AO57"/>
    <mergeCell ref="AP54:AP57"/>
    <mergeCell ref="AG54:AG57"/>
    <mergeCell ref="AH54:AH57"/>
    <mergeCell ref="AI54:AI57"/>
    <mergeCell ref="AI58:AI59"/>
    <mergeCell ref="AJ58:AJ59"/>
    <mergeCell ref="AA58:AA59"/>
    <mergeCell ref="AB58:AB59"/>
    <mergeCell ref="AC58:AC59"/>
    <mergeCell ref="AD58:AD59"/>
    <mergeCell ref="AE58:AE59"/>
    <mergeCell ref="V58:V59"/>
    <mergeCell ref="W58:W59"/>
    <mergeCell ref="X58:X59"/>
    <mergeCell ref="Y58:Y59"/>
    <mergeCell ref="Z58:Z59"/>
    <mergeCell ref="AP58:AP59"/>
    <mergeCell ref="AQ58:AQ59"/>
    <mergeCell ref="AR58:AR59"/>
    <mergeCell ref="B62:B64"/>
    <mergeCell ref="C62:C64"/>
    <mergeCell ref="D62:D64"/>
    <mergeCell ref="K62:K64"/>
    <mergeCell ref="L62:L64"/>
    <mergeCell ref="M62:M64"/>
    <mergeCell ref="N62:N64"/>
    <mergeCell ref="O62:O64"/>
    <mergeCell ref="P62:P64"/>
    <mergeCell ref="Q62:Q64"/>
    <mergeCell ref="R62:R64"/>
    <mergeCell ref="S62:S64"/>
    <mergeCell ref="T62:T64"/>
    <mergeCell ref="AK58:AK59"/>
    <mergeCell ref="AL58:AL59"/>
    <mergeCell ref="AM58:AM59"/>
    <mergeCell ref="AN58:AN59"/>
    <mergeCell ref="AO58:AO59"/>
    <mergeCell ref="AF58:AF59"/>
    <mergeCell ref="AG58:AG59"/>
    <mergeCell ref="AH58:AH59"/>
    <mergeCell ref="AH62:AH64"/>
    <mergeCell ref="AI62:AI64"/>
    <mergeCell ref="Z62:Z64"/>
    <mergeCell ref="AA62:AA64"/>
    <mergeCell ref="AB62:AB64"/>
    <mergeCell ref="AC62:AC64"/>
    <mergeCell ref="AD62:AD64"/>
    <mergeCell ref="U62:U64"/>
    <mergeCell ref="V62:V64"/>
    <mergeCell ref="W62:W64"/>
    <mergeCell ref="X62:X64"/>
    <mergeCell ref="Y62:Y64"/>
    <mergeCell ref="AO62:AO64"/>
    <mergeCell ref="AP62:AP64"/>
    <mergeCell ref="AQ62:AQ64"/>
    <mergeCell ref="AR62:AR64"/>
    <mergeCell ref="B65:B67"/>
    <mergeCell ref="C65:C67"/>
    <mergeCell ref="D65:D67"/>
    <mergeCell ref="K65:K67"/>
    <mergeCell ref="L65:L67"/>
    <mergeCell ref="M65:M67"/>
    <mergeCell ref="N65:N67"/>
    <mergeCell ref="O65:O67"/>
    <mergeCell ref="P65:P67"/>
    <mergeCell ref="Q65:Q67"/>
    <mergeCell ref="R65:R67"/>
    <mergeCell ref="S65:S67"/>
    <mergeCell ref="AJ62:AJ64"/>
    <mergeCell ref="AK62:AK64"/>
    <mergeCell ref="AL62:AL64"/>
    <mergeCell ref="AM62:AM64"/>
    <mergeCell ref="AN62:AN64"/>
    <mergeCell ref="AE62:AE64"/>
    <mergeCell ref="AF62:AF64"/>
    <mergeCell ref="AG62:AG64"/>
    <mergeCell ref="AR65:AR67"/>
    <mergeCell ref="AI65:AI67"/>
    <mergeCell ref="AJ65:AJ67"/>
    <mergeCell ref="AK65:AK67"/>
    <mergeCell ref="AL65:AL67"/>
    <mergeCell ref="AM65:AM67"/>
    <mergeCell ref="AD65:AD67"/>
    <mergeCell ref="AE65:AE67"/>
    <mergeCell ref="AF65:AF67"/>
    <mergeCell ref="AG65:AG67"/>
    <mergeCell ref="AH65:AH67"/>
    <mergeCell ref="B68:B71"/>
    <mergeCell ref="C68:C71"/>
    <mergeCell ref="D68:D71"/>
    <mergeCell ref="K68:K71"/>
    <mergeCell ref="L68:L71"/>
    <mergeCell ref="AN65:AN67"/>
    <mergeCell ref="AO65:AO67"/>
    <mergeCell ref="AP65:AP67"/>
    <mergeCell ref="AQ65:AQ67"/>
    <mergeCell ref="Y65:Y67"/>
    <mergeCell ref="Z65:Z67"/>
    <mergeCell ref="AA65:AA67"/>
    <mergeCell ref="AB65:AB67"/>
    <mergeCell ref="AC65:AC67"/>
    <mergeCell ref="T65:T67"/>
    <mergeCell ref="U65:U67"/>
    <mergeCell ref="V65:V67"/>
    <mergeCell ref="W65:W67"/>
    <mergeCell ref="X65:X67"/>
    <mergeCell ref="R68:R71"/>
    <mergeCell ref="S68:S71"/>
    <mergeCell ref="T68:T71"/>
    <mergeCell ref="U68:U71"/>
    <mergeCell ref="V68:V71"/>
    <mergeCell ref="M68:M71"/>
    <mergeCell ref="N68:N71"/>
    <mergeCell ref="O68:O71"/>
    <mergeCell ref="P68:P71"/>
    <mergeCell ref="Q68:Q71"/>
    <mergeCell ref="AJ68:AJ71"/>
    <mergeCell ref="AK68:AK71"/>
    <mergeCell ref="AB68:AB71"/>
    <mergeCell ref="AC68:AC71"/>
    <mergeCell ref="AD68:AD71"/>
    <mergeCell ref="AE68:AE71"/>
    <mergeCell ref="AF68:AF71"/>
    <mergeCell ref="W68:W71"/>
    <mergeCell ref="X68:X71"/>
    <mergeCell ref="Y68:Y71"/>
    <mergeCell ref="Z68:Z71"/>
    <mergeCell ref="AA68:AA71"/>
    <mergeCell ref="AQ68:AQ71"/>
    <mergeCell ref="AR68:AR71"/>
    <mergeCell ref="B72:B73"/>
    <mergeCell ref="C72:C73"/>
    <mergeCell ref="D72:D73"/>
    <mergeCell ref="K72:K73"/>
    <mergeCell ref="L72:L73"/>
    <mergeCell ref="M72:M73"/>
    <mergeCell ref="N72:N73"/>
    <mergeCell ref="O72:O73"/>
    <mergeCell ref="P72:P73"/>
    <mergeCell ref="Q72:Q73"/>
    <mergeCell ref="R72:R73"/>
    <mergeCell ref="S72:S73"/>
    <mergeCell ref="T72:T73"/>
    <mergeCell ref="U72:U73"/>
    <mergeCell ref="AL68:AL71"/>
    <mergeCell ref="AM68:AM71"/>
    <mergeCell ref="AN68:AN71"/>
    <mergeCell ref="AO68:AO71"/>
    <mergeCell ref="AP68:AP71"/>
    <mergeCell ref="AG68:AG71"/>
    <mergeCell ref="AH68:AH71"/>
    <mergeCell ref="AI68:AI71"/>
    <mergeCell ref="AI72:AI73"/>
    <mergeCell ref="AJ72:AJ73"/>
    <mergeCell ref="AA72:AA73"/>
    <mergeCell ref="AB72:AB73"/>
    <mergeCell ref="AC72:AC73"/>
    <mergeCell ref="AD72:AD73"/>
    <mergeCell ref="AE72:AE73"/>
    <mergeCell ref="V72:V73"/>
    <mergeCell ref="W72:W73"/>
    <mergeCell ref="X72:X73"/>
    <mergeCell ref="Y72:Y73"/>
    <mergeCell ref="Z72:Z73"/>
    <mergeCell ref="AP72:AP73"/>
    <mergeCell ref="AQ72:AQ73"/>
    <mergeCell ref="AR72:AR73"/>
    <mergeCell ref="B75:B77"/>
    <mergeCell ref="C75:C77"/>
    <mergeCell ref="D75:D77"/>
    <mergeCell ref="K75:K77"/>
    <mergeCell ref="L75:L77"/>
    <mergeCell ref="M75:M77"/>
    <mergeCell ref="N75:N77"/>
    <mergeCell ref="O75:O77"/>
    <mergeCell ref="P75:P77"/>
    <mergeCell ref="Q75:Q77"/>
    <mergeCell ref="R75:R77"/>
    <mergeCell ref="S75:S77"/>
    <mergeCell ref="T75:T77"/>
    <mergeCell ref="AK72:AK73"/>
    <mergeCell ref="AL72:AL73"/>
    <mergeCell ref="AM72:AM73"/>
    <mergeCell ref="AN72:AN73"/>
    <mergeCell ref="AO72:AO73"/>
    <mergeCell ref="AF72:AF73"/>
    <mergeCell ref="AG72:AG73"/>
    <mergeCell ref="AH72:AH73"/>
    <mergeCell ref="AI75:AI77"/>
    <mergeCell ref="Z75:Z77"/>
    <mergeCell ref="AA75:AA77"/>
    <mergeCell ref="AB75:AB77"/>
    <mergeCell ref="AC75:AC77"/>
    <mergeCell ref="AD75:AD77"/>
    <mergeCell ref="U75:U77"/>
    <mergeCell ref="V75:V77"/>
    <mergeCell ref="W75:W77"/>
    <mergeCell ref="X75:X77"/>
    <mergeCell ref="Y75:Y77"/>
    <mergeCell ref="B78:B80"/>
    <mergeCell ref="C78:C80"/>
    <mergeCell ref="D78:D80"/>
    <mergeCell ref="K78:K80"/>
    <mergeCell ref="L78:L80"/>
    <mergeCell ref="M78:M80"/>
    <mergeCell ref="N78:N80"/>
    <mergeCell ref="O78:O80"/>
    <mergeCell ref="P78:P80"/>
    <mergeCell ref="AO75:AO77"/>
    <mergeCell ref="AP75:AP77"/>
    <mergeCell ref="AQ75:AQ77"/>
    <mergeCell ref="AR75:AR77"/>
    <mergeCell ref="AD78:AD80"/>
    <mergeCell ref="AE78:AE80"/>
    <mergeCell ref="AF78:AF80"/>
    <mergeCell ref="AG78:AG80"/>
    <mergeCell ref="AH78:AH80"/>
    <mergeCell ref="AN78:AN80"/>
    <mergeCell ref="AO78:AO80"/>
    <mergeCell ref="AP78:AP80"/>
    <mergeCell ref="AQ78:AQ80"/>
    <mergeCell ref="AR78:AR80"/>
    <mergeCell ref="AI78:AI80"/>
    <mergeCell ref="AJ75:AJ77"/>
    <mergeCell ref="AK75:AK77"/>
    <mergeCell ref="AL75:AL77"/>
    <mergeCell ref="AM75:AM77"/>
    <mergeCell ref="AN75:AN77"/>
    <mergeCell ref="AE75:AE77"/>
    <mergeCell ref="AF75:AF77"/>
    <mergeCell ref="AG75:AG77"/>
    <mergeCell ref="AH75:AH77"/>
    <mergeCell ref="AJ78:AJ80"/>
    <mergeCell ref="AK78:AK80"/>
    <mergeCell ref="AL78:AL80"/>
    <mergeCell ref="AM78:AM80"/>
    <mergeCell ref="M81:M84"/>
    <mergeCell ref="N81:N84"/>
    <mergeCell ref="O81:O84"/>
    <mergeCell ref="P81:P84"/>
    <mergeCell ref="Q81:Q84"/>
    <mergeCell ref="AA81:AA84"/>
    <mergeCell ref="U78:U80"/>
    <mergeCell ref="V78:V80"/>
    <mergeCell ref="W78:W80"/>
    <mergeCell ref="X78:X80"/>
    <mergeCell ref="Y78:Y80"/>
    <mergeCell ref="Z78:Z80"/>
    <mergeCell ref="AA78:AA80"/>
    <mergeCell ref="AB78:AB80"/>
    <mergeCell ref="AC78:AC80"/>
    <mergeCell ref="Q78:Q80"/>
    <mergeCell ref="R78:R80"/>
    <mergeCell ref="S78:S80"/>
    <mergeCell ref="T78:T80"/>
    <mergeCell ref="B81:B84"/>
    <mergeCell ref="C81:C84"/>
    <mergeCell ref="D81:D84"/>
    <mergeCell ref="K81:K84"/>
    <mergeCell ref="L81:L84"/>
    <mergeCell ref="W81:W84"/>
    <mergeCell ref="X81:X84"/>
    <mergeCell ref="Y81:Y84"/>
    <mergeCell ref="Z81:Z84"/>
    <mergeCell ref="R81:R84"/>
    <mergeCell ref="S81:S84"/>
    <mergeCell ref="T81:T84"/>
    <mergeCell ref="U81:U84"/>
    <mergeCell ref="V81:V84"/>
    <mergeCell ref="AO81:AO84"/>
    <mergeCell ref="AP81:AP84"/>
    <mergeCell ref="AG81:AG84"/>
    <mergeCell ref="AH81:AH84"/>
    <mergeCell ref="AI81:AI84"/>
    <mergeCell ref="AJ81:AJ84"/>
    <mergeCell ref="AK81:AK84"/>
    <mergeCell ref="AB81:AB84"/>
    <mergeCell ref="AC81:AC84"/>
    <mergeCell ref="AD81:AD84"/>
    <mergeCell ref="AE81:AE84"/>
    <mergeCell ref="AF81:AF84"/>
    <mergeCell ref="V85:V87"/>
    <mergeCell ref="W85:W87"/>
    <mergeCell ref="X85:X87"/>
    <mergeCell ref="Y85:Y87"/>
    <mergeCell ref="Z85:Z87"/>
    <mergeCell ref="AQ81:AQ84"/>
    <mergeCell ref="AR81:AR84"/>
    <mergeCell ref="B85:B87"/>
    <mergeCell ref="C85:C87"/>
    <mergeCell ref="D85:D87"/>
    <mergeCell ref="K85:K87"/>
    <mergeCell ref="L85:L87"/>
    <mergeCell ref="M85:M87"/>
    <mergeCell ref="N85:N87"/>
    <mergeCell ref="O85:O87"/>
    <mergeCell ref="P85:P87"/>
    <mergeCell ref="Q85:Q87"/>
    <mergeCell ref="R85:R87"/>
    <mergeCell ref="S85:S87"/>
    <mergeCell ref="T85:T87"/>
    <mergeCell ref="U85:U87"/>
    <mergeCell ref="AL81:AL84"/>
    <mergeCell ref="AM81:AM84"/>
    <mergeCell ref="AN81:AN84"/>
    <mergeCell ref="AN85:AN87"/>
    <mergeCell ref="AO85:AO87"/>
    <mergeCell ref="AF85:AF87"/>
    <mergeCell ref="AG85:AG87"/>
    <mergeCell ref="AH85:AH87"/>
    <mergeCell ref="AI85:AI87"/>
    <mergeCell ref="AJ85:AJ87"/>
    <mergeCell ref="AA85:AA87"/>
    <mergeCell ref="AB85:AB87"/>
    <mergeCell ref="AC85:AC87"/>
    <mergeCell ref="AD85:AD87"/>
    <mergeCell ref="AE85:AE87"/>
    <mergeCell ref="B93:B94"/>
    <mergeCell ref="K93:K94"/>
    <mergeCell ref="L93:L94"/>
    <mergeCell ref="M93:M94"/>
    <mergeCell ref="N93:N94"/>
    <mergeCell ref="AP85:AP87"/>
    <mergeCell ref="AQ85:AQ87"/>
    <mergeCell ref="AR85:AR87"/>
    <mergeCell ref="D93:D94"/>
    <mergeCell ref="C93:C94"/>
    <mergeCell ref="O93:O94"/>
    <mergeCell ref="P93:P94"/>
    <mergeCell ref="Q93:Q94"/>
    <mergeCell ref="R93:R94"/>
    <mergeCell ref="S93:S94"/>
    <mergeCell ref="T93:T94"/>
    <mergeCell ref="U93:U94"/>
    <mergeCell ref="V93:V94"/>
    <mergeCell ref="W93:W94"/>
    <mergeCell ref="X93:X94"/>
    <mergeCell ref="Y93:Y94"/>
    <mergeCell ref="AK85:AK87"/>
    <mergeCell ref="AL85:AL87"/>
    <mergeCell ref="AM85:AM87"/>
    <mergeCell ref="AM93:AM94"/>
    <mergeCell ref="AN93:AN94"/>
    <mergeCell ref="AE93:AE94"/>
    <mergeCell ref="AF93:AF94"/>
    <mergeCell ref="AG93:AG94"/>
    <mergeCell ref="AH93:AH94"/>
    <mergeCell ref="AI93:AI94"/>
    <mergeCell ref="Z93:Z94"/>
    <mergeCell ref="AA93:AA94"/>
    <mergeCell ref="AB93:AB94"/>
    <mergeCell ref="AC93:AC94"/>
    <mergeCell ref="AD93:AD94"/>
    <mergeCell ref="C95:C98"/>
    <mergeCell ref="B95:B98"/>
    <mergeCell ref="K95:K98"/>
    <mergeCell ref="L95:L98"/>
    <mergeCell ref="M95:M98"/>
    <mergeCell ref="AO93:AO94"/>
    <mergeCell ref="AP93:AP94"/>
    <mergeCell ref="AQ93:AQ94"/>
    <mergeCell ref="AR93:AR94"/>
    <mergeCell ref="D95:D98"/>
    <mergeCell ref="N95:N98"/>
    <mergeCell ref="O95:O98"/>
    <mergeCell ref="P95:P98"/>
    <mergeCell ref="Q95:Q98"/>
    <mergeCell ref="R95:R98"/>
    <mergeCell ref="S95:S98"/>
    <mergeCell ref="T95:T98"/>
    <mergeCell ref="U95:U98"/>
    <mergeCell ref="V95:V98"/>
    <mergeCell ref="W95:W98"/>
    <mergeCell ref="X95:X98"/>
    <mergeCell ref="AJ93:AJ94"/>
    <mergeCell ref="AK93:AK94"/>
    <mergeCell ref="AL93:AL94"/>
    <mergeCell ref="AD95:AD98"/>
    <mergeCell ref="AE95:AE98"/>
    <mergeCell ref="AF95:AF98"/>
    <mergeCell ref="AG95:AG98"/>
    <mergeCell ref="AH95:AH98"/>
    <mergeCell ref="Y95:Y98"/>
    <mergeCell ref="Z95:Z98"/>
    <mergeCell ref="AA95:AA98"/>
    <mergeCell ref="AB95:AB98"/>
    <mergeCell ref="AC95:AC98"/>
    <mergeCell ref="AN95:AN98"/>
    <mergeCell ref="AO95:AO98"/>
    <mergeCell ref="AP95:AP98"/>
    <mergeCell ref="AQ95:AQ98"/>
    <mergeCell ref="AR95:AR98"/>
    <mergeCell ref="AI95:AI98"/>
    <mergeCell ref="AJ95:AJ98"/>
    <mergeCell ref="AK95:AK98"/>
    <mergeCell ref="AL95:AL98"/>
    <mergeCell ref="AM95:AM98"/>
    <mergeCell ref="M99:M103"/>
    <mergeCell ref="N99:N103"/>
    <mergeCell ref="P99:P103"/>
    <mergeCell ref="O99:O103"/>
    <mergeCell ref="Q99:Q103"/>
    <mergeCell ref="B99:B103"/>
    <mergeCell ref="C99:C103"/>
    <mergeCell ref="D99:D103"/>
    <mergeCell ref="K99:K103"/>
    <mergeCell ref="L99:L103"/>
    <mergeCell ref="W99:W103"/>
    <mergeCell ref="X99:X103"/>
    <mergeCell ref="Y99:Y103"/>
    <mergeCell ref="Z99:Z103"/>
    <mergeCell ref="AA99:AA103"/>
    <mergeCell ref="R99:R103"/>
    <mergeCell ref="S99:S103"/>
    <mergeCell ref="T99:T103"/>
    <mergeCell ref="U99:U103"/>
    <mergeCell ref="V99:V103"/>
    <mergeCell ref="AN99:AN103"/>
    <mergeCell ref="AO99:AO103"/>
    <mergeCell ref="AP99:AP103"/>
    <mergeCell ref="AG99:AG103"/>
    <mergeCell ref="AH99:AH103"/>
    <mergeCell ref="AI99:AI103"/>
    <mergeCell ref="AJ99:AJ103"/>
    <mergeCell ref="AK99:AK103"/>
    <mergeCell ref="AB99:AB103"/>
    <mergeCell ref="AC99:AC103"/>
    <mergeCell ref="AD99:AD103"/>
    <mergeCell ref="AE99:AE103"/>
    <mergeCell ref="AF99:AF103"/>
    <mergeCell ref="O106:O107"/>
    <mergeCell ref="O108:O109"/>
    <mergeCell ref="P106:P107"/>
    <mergeCell ref="P108:P109"/>
    <mergeCell ref="Q106:Q107"/>
    <mergeCell ref="Q108:Q109"/>
    <mergeCell ref="AQ99:AQ103"/>
    <mergeCell ref="AR99:AR103"/>
    <mergeCell ref="B106:B107"/>
    <mergeCell ref="B108:B109"/>
    <mergeCell ref="C106:C107"/>
    <mergeCell ref="C108:C109"/>
    <mergeCell ref="D106:D107"/>
    <mergeCell ref="D108:D109"/>
    <mergeCell ref="K106:K107"/>
    <mergeCell ref="K108:K109"/>
    <mergeCell ref="L106:L107"/>
    <mergeCell ref="L108:L109"/>
    <mergeCell ref="M106:M107"/>
    <mergeCell ref="M108:M109"/>
    <mergeCell ref="N106:N107"/>
    <mergeCell ref="N108:N109"/>
    <mergeCell ref="AL99:AL103"/>
    <mergeCell ref="AM99:AM103"/>
    <mergeCell ref="U106:U107"/>
    <mergeCell ref="U108:U109"/>
    <mergeCell ref="V106:V107"/>
    <mergeCell ref="V108:V109"/>
    <mergeCell ref="W106:W107"/>
    <mergeCell ref="W108:W109"/>
    <mergeCell ref="R106:R107"/>
    <mergeCell ref="R108:R109"/>
    <mergeCell ref="S106:S107"/>
    <mergeCell ref="S108:S109"/>
    <mergeCell ref="T106:T107"/>
    <mergeCell ref="T108:T109"/>
    <mergeCell ref="AB108:AB109"/>
    <mergeCell ref="AC106:AC107"/>
    <mergeCell ref="AC108:AC109"/>
    <mergeCell ref="X106:X107"/>
    <mergeCell ref="X108:X109"/>
    <mergeCell ref="Y106:Y107"/>
    <mergeCell ref="Y108:Y109"/>
    <mergeCell ref="Z106:Z107"/>
    <mergeCell ref="Z108:Z109"/>
    <mergeCell ref="AR106:AR107"/>
    <mergeCell ref="AR108:AR109"/>
    <mergeCell ref="AM106:AM107"/>
    <mergeCell ref="AM108:AM109"/>
    <mergeCell ref="AN106:AN107"/>
    <mergeCell ref="AN108:AN109"/>
    <mergeCell ref="AO106:AO107"/>
    <mergeCell ref="AO108:AO109"/>
    <mergeCell ref="AJ106:AJ107"/>
    <mergeCell ref="AK106:AK107"/>
    <mergeCell ref="AJ108:AJ109"/>
    <mergeCell ref="AK108:AK109"/>
    <mergeCell ref="AL106:AL107"/>
    <mergeCell ref="AL108:AL109"/>
    <mergeCell ref="B113:B114"/>
    <mergeCell ref="C113:C114"/>
    <mergeCell ref="D113:D114"/>
    <mergeCell ref="K113:K114"/>
    <mergeCell ref="L113:L114"/>
    <mergeCell ref="AP106:AP107"/>
    <mergeCell ref="AP108:AP109"/>
    <mergeCell ref="AQ106:AQ107"/>
    <mergeCell ref="AQ108:AQ109"/>
    <mergeCell ref="AG106:AG107"/>
    <mergeCell ref="AG108:AG109"/>
    <mergeCell ref="AH106:AH107"/>
    <mergeCell ref="AH108:AH109"/>
    <mergeCell ref="AI106:AI107"/>
    <mergeCell ref="AI108:AI109"/>
    <mergeCell ref="AD106:AD107"/>
    <mergeCell ref="AD108:AD109"/>
    <mergeCell ref="AE106:AE107"/>
    <mergeCell ref="AE108:AE109"/>
    <mergeCell ref="AF106:AF107"/>
    <mergeCell ref="AF108:AF109"/>
    <mergeCell ref="AA106:AA107"/>
    <mergeCell ref="AA108:AA109"/>
    <mergeCell ref="AB106:AB107"/>
    <mergeCell ref="R113:R114"/>
    <mergeCell ref="S113:S114"/>
    <mergeCell ref="T113:T114"/>
    <mergeCell ref="U113:U114"/>
    <mergeCell ref="V113:V114"/>
    <mergeCell ref="M113:M114"/>
    <mergeCell ref="N113:N114"/>
    <mergeCell ref="O113:O114"/>
    <mergeCell ref="P113:P114"/>
    <mergeCell ref="Q113:Q114"/>
    <mergeCell ref="AB113:AB114"/>
    <mergeCell ref="AC113:AC114"/>
    <mergeCell ref="AD113:AD114"/>
    <mergeCell ref="AE113:AE114"/>
    <mergeCell ref="AF113:AF114"/>
    <mergeCell ref="W113:W114"/>
    <mergeCell ref="X113:X114"/>
    <mergeCell ref="Y113:Y114"/>
    <mergeCell ref="Z113:Z114"/>
    <mergeCell ref="AA113:AA114"/>
    <mergeCell ref="AQ113:AQ114"/>
    <mergeCell ref="AR113:AR114"/>
    <mergeCell ref="AL113:AL114"/>
    <mergeCell ref="AM113:AM114"/>
    <mergeCell ref="AN113:AN114"/>
    <mergeCell ref="AO113:AO114"/>
    <mergeCell ref="AP113:AP114"/>
    <mergeCell ref="AG113:AG114"/>
    <mergeCell ref="AH113:AH114"/>
    <mergeCell ref="AI113:AI114"/>
    <mergeCell ref="AJ113:AJ114"/>
    <mergeCell ref="AK113:AK114"/>
  </mergeCells>
  <conditionalFormatting sqref="M1:M1048576">
    <cfRule type="containsText" dxfId="21" priority="1" operator="containsText" text="Slightly important">
      <formula>NOT(ISERROR(SEARCH("Slightly important",M1)))</formula>
    </cfRule>
    <cfRule type="containsText" dxfId="20" priority="2" operator="containsText" text="Moderately important">
      <formula>NOT(ISERROR(SEARCH("Moderately important",M1)))</formula>
    </cfRule>
    <cfRule type="containsText" dxfId="19" priority="3" operator="containsText" text="Very Important">
      <formula>NOT(ISERROR(SEARCH("Very Important",M1)))</formula>
    </cfRule>
    <cfRule type="containsText" dxfId="18" priority="4" operator="containsText" text="Extremely Important">
      <formula>NOT(ISERROR(SEARCH("Extremely Important",M1)))</formula>
    </cfRule>
    <cfRule type="containsText" dxfId="17" priority="5" operator="containsText" text="Critically Important / Essential">
      <formula>NOT(ISERROR(SEARCH("Critically Important / Essential",M1)))</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66543-93C9-4391-81F1-A1F18FDC3C53}">
  <dimension ref="B4:O27"/>
  <sheetViews>
    <sheetView topLeftCell="C1" workbookViewId="0">
      <selection activeCell="Q18" sqref="Q18"/>
    </sheetView>
  </sheetViews>
  <sheetFormatPr defaultRowHeight="15" x14ac:dyDescent="0.25"/>
  <cols>
    <col min="3" max="3" width="31.42578125" customWidth="1"/>
    <col min="4" max="4" width="53.42578125" customWidth="1"/>
    <col min="5" max="5" width="14.28515625" customWidth="1"/>
    <col min="6" max="6" width="14.42578125" customWidth="1"/>
    <col min="7" max="7" width="14.140625" customWidth="1"/>
    <col min="8" max="8" width="16.7109375" customWidth="1"/>
    <col min="9" max="9" width="16.28515625" customWidth="1"/>
    <col min="10" max="10" width="15.42578125" customWidth="1"/>
    <col min="11" max="11" width="6.140625" hidden="1" customWidth="1"/>
    <col min="12" max="12" width="9.42578125" hidden="1" customWidth="1"/>
    <col min="13" max="13" width="5" hidden="1" customWidth="1"/>
    <col min="14" max="14" width="28.5703125" customWidth="1"/>
    <col min="15" max="15" width="28.42578125" customWidth="1"/>
    <col min="20" max="20" width="9.140625" customWidth="1"/>
  </cols>
  <sheetData>
    <row r="4" spans="2:15" ht="18" x14ac:dyDescent="0.25">
      <c r="B4" s="66"/>
      <c r="C4" s="67"/>
      <c r="D4" s="68"/>
      <c r="E4" s="68"/>
      <c r="F4" s="68"/>
      <c r="G4" s="68"/>
      <c r="H4" s="68"/>
      <c r="I4" s="68"/>
      <c r="J4" s="68"/>
      <c r="K4" s="68"/>
      <c r="L4" s="68"/>
      <c r="M4" s="68"/>
      <c r="N4" s="68"/>
      <c r="O4" s="69"/>
    </row>
    <row r="5" spans="2:15" ht="16.5" x14ac:dyDescent="0.25">
      <c r="B5" s="70"/>
      <c r="C5" s="2" t="s">
        <v>303</v>
      </c>
      <c r="D5" s="1"/>
      <c r="E5" s="1"/>
      <c r="F5" s="1"/>
      <c r="G5" s="1"/>
      <c r="H5" s="1"/>
      <c r="I5" s="1"/>
      <c r="J5" s="1"/>
      <c r="K5" s="1"/>
      <c r="L5" s="1"/>
      <c r="M5" s="1"/>
      <c r="N5" s="1"/>
      <c r="O5" s="71"/>
    </row>
    <row r="6" spans="2:15" ht="16.5" x14ac:dyDescent="0.25">
      <c r="B6" s="70"/>
      <c r="C6" s="2"/>
      <c r="D6" s="1"/>
      <c r="E6" s="1"/>
      <c r="F6" s="1"/>
      <c r="G6" s="1"/>
      <c r="H6" s="1"/>
      <c r="I6" s="1"/>
      <c r="J6" s="1"/>
      <c r="K6" s="1"/>
      <c r="L6" s="1"/>
      <c r="M6" s="1"/>
      <c r="N6" s="1"/>
      <c r="O6" s="71"/>
    </row>
    <row r="7" spans="2:15" ht="15.75" x14ac:dyDescent="0.25">
      <c r="B7" s="72"/>
      <c r="C7" s="282" t="s">
        <v>393</v>
      </c>
      <c r="D7" s="282"/>
      <c r="E7" s="282"/>
      <c r="F7" s="282"/>
      <c r="G7" s="282"/>
      <c r="H7" s="282"/>
      <c r="I7" s="282"/>
      <c r="J7" s="282"/>
      <c r="K7" s="282"/>
      <c r="L7" s="282"/>
      <c r="M7" s="282"/>
      <c r="N7" s="282"/>
      <c r="O7" s="73"/>
    </row>
    <row r="8" spans="2:15" ht="15.75" x14ac:dyDescent="0.25">
      <c r="B8" s="72"/>
      <c r="C8" s="416" t="s">
        <v>389</v>
      </c>
      <c r="D8" s="416"/>
      <c r="E8" s="416"/>
      <c r="F8" s="416"/>
      <c r="G8" s="416"/>
      <c r="H8" s="416"/>
      <c r="I8" s="416"/>
      <c r="J8" s="416"/>
      <c r="K8" s="416"/>
      <c r="L8" s="416"/>
      <c r="M8" s="416"/>
      <c r="N8" s="416"/>
      <c r="O8" s="73"/>
    </row>
    <row r="9" spans="2:15" ht="15.75" x14ac:dyDescent="0.25">
      <c r="B9" s="72"/>
      <c r="C9" s="4"/>
      <c r="D9" s="4"/>
      <c r="E9" s="4"/>
      <c r="F9" s="4"/>
      <c r="G9" s="4"/>
      <c r="H9" s="4"/>
      <c r="I9" s="4"/>
      <c r="J9" s="4"/>
      <c r="K9" s="4"/>
      <c r="L9" s="4"/>
      <c r="M9" s="4"/>
      <c r="N9" s="4"/>
      <c r="O9" s="229"/>
    </row>
    <row r="10" spans="2:15" ht="16.5" x14ac:dyDescent="0.25">
      <c r="B10" s="70"/>
      <c r="C10" s="499" t="s">
        <v>304</v>
      </c>
      <c r="D10" s="499" t="s">
        <v>305</v>
      </c>
      <c r="E10" s="501" t="s">
        <v>306</v>
      </c>
      <c r="F10" s="502"/>
      <c r="G10" s="502"/>
      <c r="H10" s="502"/>
      <c r="I10" s="502"/>
      <c r="J10" s="503"/>
      <c r="K10" s="100"/>
      <c r="L10" s="100"/>
      <c r="M10" s="100"/>
      <c r="N10" s="504" t="s">
        <v>307</v>
      </c>
      <c r="O10" s="506" t="s">
        <v>308</v>
      </c>
    </row>
    <row r="11" spans="2:15" ht="69" x14ac:dyDescent="0.25">
      <c r="B11" s="70"/>
      <c r="C11" s="500"/>
      <c r="D11" s="500"/>
      <c r="E11" s="74" t="s">
        <v>59</v>
      </c>
      <c r="F11" s="74" t="s">
        <v>67</v>
      </c>
      <c r="G11" s="74" t="s">
        <v>69</v>
      </c>
      <c r="H11" s="74" t="s">
        <v>309</v>
      </c>
      <c r="I11" s="74" t="s">
        <v>78</v>
      </c>
      <c r="J11" s="74" t="s">
        <v>310</v>
      </c>
      <c r="K11" s="101" t="s">
        <v>311</v>
      </c>
      <c r="L11" s="101" t="s">
        <v>312</v>
      </c>
      <c r="M11" s="101" t="s">
        <v>143</v>
      </c>
      <c r="N11" s="505"/>
      <c r="O11" s="507"/>
    </row>
    <row r="12" spans="2:15" ht="16.5" x14ac:dyDescent="0.25">
      <c r="B12" s="70"/>
      <c r="C12" s="408" t="s">
        <v>313</v>
      </c>
      <c r="D12" s="75" t="s">
        <v>314</v>
      </c>
      <c r="E12" s="76" t="str" cm="1">
        <f t="array" ref="E12">_xlfn.XLOOKUP("Improve Safety &amp; Security",_xlfn.ANCHORARRAY( 'Outcome Priotization'!K12),'Outcome Priotization'!L12:L17)</f>
        <v xml:space="preserve"> First priority</v>
      </c>
      <c r="F12" s="76"/>
      <c r="G12" s="76"/>
      <c r="H12" s="76"/>
      <c r="I12" s="76"/>
      <c r="J12" s="76"/>
      <c r="K12" s="102" cm="1">
        <f t="array" ref="K12">SUMPRODUCT(IFERROR(VLOOKUP(E12:J12,'Response Options'!D14:E19,2,FALSE),0))</f>
        <v>6</v>
      </c>
      <c r="L12" s="103">
        <f>K12/1</f>
        <v>6</v>
      </c>
      <c r="M12" s="104">
        <f>ROUND(L12,0)</f>
        <v>6</v>
      </c>
      <c r="N12" s="232" t="str">
        <f>_xlfn.XLOOKUP(M12,'Response Options'!F5:F10,'Response Options'!D5:D10)</f>
        <v>Critically Important / Essential</v>
      </c>
      <c r="O12" s="238" t="s">
        <v>62</v>
      </c>
    </row>
    <row r="13" spans="2:15" ht="16.5" x14ac:dyDescent="0.25">
      <c r="B13" s="70"/>
      <c r="C13" s="408"/>
      <c r="D13" s="75" t="s">
        <v>315</v>
      </c>
      <c r="E13" s="76" t="str" cm="1">
        <f t="array" ref="E13">_xlfn.XLOOKUP("Improve Safety &amp; Security",_xlfn.ANCHORARRAY( 'Outcome Priotization'!K12),'Outcome Priotization'!L12:L17)</f>
        <v xml:space="preserve"> First priority</v>
      </c>
      <c r="F13" s="76" t="str" cm="1">
        <f t="array" ref="F13">_xlfn.XLOOKUP("Optimize Efficiency &amp; Effectiveness",_xlfn.ANCHORARRAY( 'Outcome Priotization'!K12),'Outcome Priotization'!L12:L17)</f>
        <v>Fourth priority</v>
      </c>
      <c r="G13" s="76"/>
      <c r="H13" s="76" t="str" cm="1">
        <f t="array" ref="H13">_xlfn.XLOOKUP("Improve Overall Comfort for all users",_xlfn.ANCHORARRAY( 'Outcome Priotization'!K12),'Outcome Priotization'!L12:L17)</f>
        <v>Third priority</v>
      </c>
      <c r="I13" s="76"/>
      <c r="J13" s="76"/>
      <c r="K13" s="102" cm="1">
        <f t="array" ref="K13">SUMPRODUCT(IFERROR(VLOOKUP(E13:J13,'Response Options'!D14:E19,2,FALSE),0))</f>
        <v>13</v>
      </c>
      <c r="L13" s="103">
        <f t="shared" ref="L13:L26" si="0">K13/3</f>
        <v>4.333333333333333</v>
      </c>
      <c r="M13" s="104">
        <f t="shared" ref="M13:M26" si="1">ROUND(L13,0)</f>
        <v>4</v>
      </c>
      <c r="N13" s="232" t="str">
        <f>_xlfn.XLOOKUP(M13,'Response Options'!F5:F10,'Response Options'!D5:D10)</f>
        <v>Very Important</v>
      </c>
      <c r="O13" s="238" t="s">
        <v>66</v>
      </c>
    </row>
    <row r="14" spans="2:15" ht="16.5" x14ac:dyDescent="0.25">
      <c r="B14" s="70"/>
      <c r="C14" s="408"/>
      <c r="D14" s="75" t="s">
        <v>395</v>
      </c>
      <c r="E14" s="76" t="str" cm="1">
        <f t="array" ref="E14">_xlfn.XLOOKUP("Improve Safety &amp; Security",_xlfn.ANCHORARRAY( 'Outcome Priotization'!K12),'Outcome Priotization'!L12:L17)</f>
        <v xml:space="preserve"> First priority</v>
      </c>
      <c r="F14" s="76"/>
      <c r="G14" s="76"/>
      <c r="H14" s="76" t="str" cm="1">
        <f t="array" ref="H14">_xlfn.XLOOKUP("Improve Overall Comfort for all users",_xlfn.ANCHORARRAY( 'Outcome Priotization'!K12),'Outcome Priotization'!L12:L17)</f>
        <v>Third priority</v>
      </c>
      <c r="I14" s="76"/>
      <c r="J14" s="76"/>
      <c r="K14" s="102" cm="1">
        <f t="array" ref="K14">SUMPRODUCT(IFERROR(VLOOKUP(E14:J14,'Response Options'!D14:E19,2,FALSE),0))</f>
        <v>10</v>
      </c>
      <c r="L14" s="103">
        <f t="shared" si="0"/>
        <v>3.3333333333333335</v>
      </c>
      <c r="M14" s="104">
        <f t="shared" si="1"/>
        <v>3</v>
      </c>
      <c r="N14" s="232" t="str">
        <f>_xlfn.XLOOKUP(M14,'Response Options'!F5:F10,'Response Options'!D5:D10)</f>
        <v>Moderately Important</v>
      </c>
      <c r="O14" s="238" t="s">
        <v>92</v>
      </c>
    </row>
    <row r="15" spans="2:15" ht="16.5" x14ac:dyDescent="0.25">
      <c r="B15" s="70"/>
      <c r="C15" s="409" t="s">
        <v>316</v>
      </c>
      <c r="D15" s="77" t="s">
        <v>317</v>
      </c>
      <c r="E15" s="78" t="str" cm="1">
        <f t="array" ref="E15">_xlfn.XLOOKUP("Improve Safety &amp; Security",_xlfn.ANCHORARRAY( 'Outcome Priotization'!K12),'Outcome Priotization'!L12:L17)</f>
        <v xml:space="preserve"> First priority</v>
      </c>
      <c r="F15" s="78" t="str" cm="1">
        <f t="array" ref="F15">_xlfn.XLOOKUP("Optimize Efficiency &amp; Effectiveness",_xlfn.ANCHORARRAY( 'Outcome Priotization'!K12),'Outcome Priotization'!L12:L17)</f>
        <v>Fourth priority</v>
      </c>
      <c r="G15" s="78" t="str" cm="1">
        <f t="array" ref="G15">_xlfn.XLOOKUP("Improve Communication",_xlfn.ANCHORARRAY( 'Outcome Priotization'!K12),'Outcome Priotization'!L12:L17)</f>
        <v>Sixth priority</v>
      </c>
      <c r="H15" s="78" t="str" cm="1">
        <f t="array" ref="H15">_xlfn.XLOOKUP("Improve Overall Comfort for all users",_xlfn.ANCHORARRAY( 'Outcome Priotization'!K12),'Outcome Priotization'!L12:L17)</f>
        <v>Third priority</v>
      </c>
      <c r="I15" s="78"/>
      <c r="J15" s="78"/>
      <c r="K15" s="102" cm="1">
        <f t="array" ref="K15">SUMPRODUCT(IFERROR(VLOOKUP(E15:J15,'Response Options'!D14:E19,2,FALSE),0))</f>
        <v>14</v>
      </c>
      <c r="L15" s="103">
        <f t="shared" si="0"/>
        <v>4.666666666666667</v>
      </c>
      <c r="M15" s="104">
        <f t="shared" si="1"/>
        <v>5</v>
      </c>
      <c r="N15" s="232" t="str">
        <f>_xlfn.XLOOKUP(M15,'Response Options'!F5:F10,'Response Options'!D5:D10)</f>
        <v>Extremely Important</v>
      </c>
      <c r="O15" s="238" t="s">
        <v>66</v>
      </c>
    </row>
    <row r="16" spans="2:15" ht="16.5" x14ac:dyDescent="0.25">
      <c r="B16" s="70"/>
      <c r="C16" s="410"/>
      <c r="D16" s="77" t="s">
        <v>318</v>
      </c>
      <c r="E16" s="78" t="str" cm="1">
        <f t="array" ref="E16">_xlfn.XLOOKUP("Improve Safety &amp; Security",_xlfn.ANCHORARRAY( 'Outcome Priotization'!K12),'Outcome Priotization'!L12:L17)</f>
        <v xml:space="preserve"> First priority</v>
      </c>
      <c r="F16" s="78"/>
      <c r="G16" s="78"/>
      <c r="H16" s="78"/>
      <c r="I16" s="78"/>
      <c r="J16" s="78"/>
      <c r="K16" s="102" cm="1">
        <f t="array" ref="K16">SUMPRODUCT(IFERROR(VLOOKUP(E16:J16,'Response Options'!D14:E19,2,FALSE),0))</f>
        <v>6</v>
      </c>
      <c r="L16" s="103">
        <f t="shared" si="0"/>
        <v>2</v>
      </c>
      <c r="M16" s="104">
        <f t="shared" si="1"/>
        <v>2</v>
      </c>
      <c r="N16" s="232" t="str">
        <f>_xlfn.XLOOKUP(M16,'Response Options'!F5:F10,'Response Options'!D5:D10)</f>
        <v>Slightly important</v>
      </c>
      <c r="O16" s="238" t="s">
        <v>111</v>
      </c>
    </row>
    <row r="17" spans="2:15" ht="16.5" x14ac:dyDescent="0.25">
      <c r="B17" s="70"/>
      <c r="C17" s="410"/>
      <c r="D17" s="77" t="s">
        <v>319</v>
      </c>
      <c r="E17" s="78" t="str" cm="1">
        <f t="array" ref="E17">_xlfn.XLOOKUP("Improve Safety &amp; Security",_xlfn.ANCHORARRAY( 'Outcome Priotization'!K12),'Outcome Priotization'!L12:L17)</f>
        <v xml:space="preserve"> First priority</v>
      </c>
      <c r="F17" s="78" t="str" cm="1">
        <f t="array" ref="F17">_xlfn.XLOOKUP("Optimize Efficiency &amp; Effectiveness",_xlfn.ANCHORARRAY( 'Outcome Priotization'!K12),'Outcome Priotization'!L12:L17)</f>
        <v>Fourth priority</v>
      </c>
      <c r="G17" s="78"/>
      <c r="H17" s="78"/>
      <c r="I17" s="78"/>
      <c r="J17" s="78"/>
      <c r="K17" s="102" cm="1">
        <f t="array" ref="K17">SUMPRODUCT(IFERROR(VLOOKUP(E17:J17,'Response Options'!D14:E19,2,FALSE),0))</f>
        <v>9</v>
      </c>
      <c r="L17" s="103">
        <f t="shared" si="0"/>
        <v>3</v>
      </c>
      <c r="M17" s="104">
        <f t="shared" si="1"/>
        <v>3</v>
      </c>
      <c r="N17" s="232" t="str">
        <f>_xlfn.XLOOKUP(M17,'Response Options'!F5:F10,'Response Options'!D5:D10)</f>
        <v>Moderately Important</v>
      </c>
      <c r="O17" s="238" t="s">
        <v>92</v>
      </c>
    </row>
    <row r="18" spans="2:15" ht="16.5" x14ac:dyDescent="0.25">
      <c r="B18" s="70"/>
      <c r="C18" s="410"/>
      <c r="D18" s="77" t="s">
        <v>320</v>
      </c>
      <c r="E18" s="78"/>
      <c r="F18" s="78"/>
      <c r="G18" s="78"/>
      <c r="H18" s="78" t="str" cm="1">
        <f t="array" ref="H18">_xlfn.XLOOKUP("Improve Overall Comfort for all users",_xlfn.ANCHORARRAY( 'Outcome Priotization'!K12),'Outcome Priotization'!L12:L17)</f>
        <v>Third priority</v>
      </c>
      <c r="I18" s="78"/>
      <c r="J18" s="78"/>
      <c r="K18" s="102" cm="1">
        <f t="array" ref="K18">SUMPRODUCT(IFERROR(VLOOKUP(E18:J18,'Response Options'!D14:E19,2,FALSE),0))</f>
        <v>4</v>
      </c>
      <c r="L18" s="103">
        <f t="shared" si="0"/>
        <v>1.3333333333333333</v>
      </c>
      <c r="M18" s="104">
        <f t="shared" si="1"/>
        <v>1</v>
      </c>
      <c r="N18" s="232" t="str">
        <f>_xlfn.XLOOKUP(M18,'Response Options'!F5:F10,'Response Options'!D5:D10)</f>
        <v>Not Important</v>
      </c>
      <c r="O18" s="238" t="s">
        <v>111</v>
      </c>
    </row>
    <row r="19" spans="2:15" ht="16.5" x14ac:dyDescent="0.25">
      <c r="B19" s="70"/>
      <c r="C19" s="508"/>
      <c r="D19" s="77" t="s">
        <v>321</v>
      </c>
      <c r="E19" s="78"/>
      <c r="F19" s="78" t="str" cm="1">
        <f t="array" ref="F19">_xlfn.XLOOKUP("Optimize Efficiency &amp; Effectiveness",_xlfn.ANCHORARRAY( 'Outcome Priotization'!K12),'Outcome Priotization'!L12:L17)</f>
        <v>Fourth priority</v>
      </c>
      <c r="G19" s="78" t="str" cm="1">
        <f t="array" ref="G19">_xlfn.XLOOKUP("Improve Communication",_xlfn.ANCHORARRAY( 'Outcome Priotization'!K12),'Outcome Priotization'!L12:L17)</f>
        <v>Sixth priority</v>
      </c>
      <c r="H19" s="78" t="str" cm="1">
        <f t="array" ref="H19">_xlfn.XLOOKUP("Improve Overall Comfort for all users",_xlfn.ANCHORARRAY( 'Outcome Priotization'!K12),'Outcome Priotization'!L12:L17)</f>
        <v>Third priority</v>
      </c>
      <c r="I19" s="78"/>
      <c r="J19" s="78"/>
      <c r="K19" s="102" cm="1">
        <f t="array" ref="K19">SUMPRODUCT(IFERROR(VLOOKUP(E19:J19,'Response Options'!D14:E19,2,FALSE),0))</f>
        <v>8</v>
      </c>
      <c r="L19" s="103">
        <f t="shared" si="0"/>
        <v>2.6666666666666665</v>
      </c>
      <c r="M19" s="104">
        <f t="shared" si="1"/>
        <v>3</v>
      </c>
      <c r="N19" s="232" t="str">
        <f>_xlfn.XLOOKUP(M19,'Response Options'!F5:F10,'Response Options'!D5:D10)</f>
        <v>Moderately Important</v>
      </c>
      <c r="O19" s="238" t="s">
        <v>66</v>
      </c>
    </row>
    <row r="20" spans="2:15" ht="16.5" x14ac:dyDescent="0.25">
      <c r="B20" s="70"/>
      <c r="C20" s="411" t="s">
        <v>322</v>
      </c>
      <c r="D20" s="79" t="s">
        <v>323</v>
      </c>
      <c r="E20" s="80"/>
      <c r="F20" s="80"/>
      <c r="G20" s="80" t="str" cm="1">
        <f t="array" ref="G20">_xlfn.XLOOKUP("Improve Communication",_xlfn.ANCHORARRAY( 'Outcome Priotization'!K12),'Outcome Priotization'!L12:L17)</f>
        <v>Sixth priority</v>
      </c>
      <c r="H20" s="80" t="str" cm="1">
        <f t="array" ref="H20">_xlfn.XLOOKUP("Improve Overall Comfort for all users",_xlfn.ANCHORARRAY( 'Outcome Priotization'!K12),'Outcome Priotization'!L12:L17)</f>
        <v>Third priority</v>
      </c>
      <c r="I20" s="80" t="str" cm="1">
        <f t="array" ref="I20">_xlfn.XLOOKUP("Improve Patient and Family Agency",_xlfn.ANCHORARRAY( 'Outcome Priotization'!K12),'Outcome Priotization'!L12:L17)</f>
        <v>Fifth priority</v>
      </c>
      <c r="J20" s="80"/>
      <c r="K20" s="102" cm="1">
        <f t="array" ref="K20">SUMPRODUCT(IFERROR(VLOOKUP(E20:J20,'Response Options'!D14:E19,2,FALSE),0))</f>
        <v>7</v>
      </c>
      <c r="L20" s="103">
        <f t="shared" si="0"/>
        <v>2.3333333333333335</v>
      </c>
      <c r="M20" s="104">
        <f t="shared" si="1"/>
        <v>2</v>
      </c>
      <c r="N20" s="232" t="str">
        <f>_xlfn.XLOOKUP(M20,'Response Options'!F5:F10,'Response Options'!D5:D10)</f>
        <v>Slightly important</v>
      </c>
      <c r="O20" s="238" t="s">
        <v>111</v>
      </c>
    </row>
    <row r="21" spans="2:15" ht="16.5" x14ac:dyDescent="0.25">
      <c r="B21" s="70"/>
      <c r="C21" s="412"/>
      <c r="D21" s="79" t="s">
        <v>324</v>
      </c>
      <c r="E21" s="80"/>
      <c r="F21" s="80"/>
      <c r="G21" s="80"/>
      <c r="H21" s="80" t="str" cm="1">
        <f t="array" ref="H21">_xlfn.XLOOKUP("Improve Overall Comfort for all users",_xlfn.ANCHORARRAY( 'Outcome Priotization'!K12),'Outcome Priotization'!L12:L17)</f>
        <v>Third priority</v>
      </c>
      <c r="I21" s="80" t="str" cm="1">
        <f t="array" ref="I21">_xlfn.XLOOKUP("Improve Patient and Family Agency",_xlfn.ANCHORARRAY( 'Outcome Priotization'!K12),'Outcome Priotization'!L12:L17)</f>
        <v>Fifth priority</v>
      </c>
      <c r="J21" s="80" t="str" cm="1">
        <f t="array" ref="J21">_xlfn.XLOOKUP("Provide Patient Choice and Control",_xlfn.ANCHORARRAY( 'Outcome Priotization'!K12),'Outcome Priotization'!L12:L17)</f>
        <v>Second priority</v>
      </c>
      <c r="K21" s="102" cm="1">
        <f t="array" ref="K21">SUMPRODUCT(IFERROR(VLOOKUP(E21:J21,'Response Options'!D14:E19,2,FALSE),0))</f>
        <v>11</v>
      </c>
      <c r="L21" s="103">
        <f t="shared" si="0"/>
        <v>3.6666666666666665</v>
      </c>
      <c r="M21" s="104">
        <f t="shared" si="1"/>
        <v>4</v>
      </c>
      <c r="N21" s="232" t="str">
        <f>_xlfn.XLOOKUP(M21,'Response Options'!F5:F10,'Response Options'!D5:D10)</f>
        <v>Very Important</v>
      </c>
      <c r="O21" s="238" t="s">
        <v>66</v>
      </c>
    </row>
    <row r="22" spans="2:15" ht="16.5" x14ac:dyDescent="0.25">
      <c r="B22" s="70"/>
      <c r="C22" s="412"/>
      <c r="D22" s="79" t="s">
        <v>325</v>
      </c>
      <c r="E22" s="80" t="str" cm="1">
        <f t="array" ref="E22">_xlfn.XLOOKUP("Improve Safety &amp; Security",_xlfn.ANCHORARRAY( 'Outcome Priotization'!K12),'Outcome Priotization'!L12:L17)</f>
        <v xml:space="preserve"> First priority</v>
      </c>
      <c r="F22" s="80"/>
      <c r="G22" s="80" t="str" cm="1">
        <f t="array" ref="G22">_xlfn.XLOOKUP("Improve Communication",_xlfn.ANCHORARRAY( 'Outcome Priotization'!K12),'Outcome Priotization'!L12:L17)</f>
        <v>Sixth priority</v>
      </c>
      <c r="H22" s="80" t="str" cm="1">
        <f t="array" ref="H22">_xlfn.XLOOKUP("Improve Overall Comfort for all users",_xlfn.ANCHORARRAY( 'Outcome Priotization'!K12),'Outcome Priotization'!L12:L17)</f>
        <v>Third priority</v>
      </c>
      <c r="I22" s="80" t="str" cm="1">
        <f t="array" ref="I22">_xlfn.XLOOKUP("Improve Patient and Family Agency",_xlfn.ANCHORARRAY( 'Outcome Priotization'!K12),'Outcome Priotization'!L12:L17)</f>
        <v>Fifth priority</v>
      </c>
      <c r="J22" s="80" t="str" cm="1">
        <f t="array" ref="J22">_xlfn.XLOOKUP("Provide Patient Choice and Control",_xlfn.ANCHORARRAY( 'Outcome Priotization'!K12),'Outcome Priotization'!L12:L17)</f>
        <v>Second priority</v>
      </c>
      <c r="K22" s="102" cm="1">
        <f t="array" ref="K22">SUMPRODUCT(IFERROR(VLOOKUP(E22:J22,'Response Options'!D14:E19,2,FALSE),0))</f>
        <v>18</v>
      </c>
      <c r="L22" s="103">
        <f t="shared" si="0"/>
        <v>6</v>
      </c>
      <c r="M22" s="104">
        <f t="shared" si="1"/>
        <v>6</v>
      </c>
      <c r="N22" s="232" t="str">
        <f>_xlfn.XLOOKUP(M22,'Response Options'!F5:F10,'Response Options'!D5:D10)</f>
        <v>Critically Important / Essential</v>
      </c>
      <c r="O22" s="238" t="s">
        <v>62</v>
      </c>
    </row>
    <row r="23" spans="2:15" ht="16.5" x14ac:dyDescent="0.25">
      <c r="B23" s="70"/>
      <c r="C23" s="412"/>
      <c r="D23" s="79" t="s">
        <v>326</v>
      </c>
      <c r="E23" s="80"/>
      <c r="F23" s="80"/>
      <c r="G23" s="80"/>
      <c r="H23" s="80" t="str" cm="1">
        <f t="array" ref="H23">_xlfn.XLOOKUP("Improve Overall Comfort for all users",_xlfn.ANCHORARRAY( 'Outcome Priotization'!K12),'Outcome Priotization'!L12:L17)</f>
        <v>Third priority</v>
      </c>
      <c r="I23" s="80"/>
      <c r="J23" s="80" t="str" cm="1">
        <f t="array" ref="J23">_xlfn.XLOOKUP("Provide Patient Choice and Control",_xlfn.ANCHORARRAY( 'Outcome Priotization'!K12),'Outcome Priotization'!L12:L17)</f>
        <v>Second priority</v>
      </c>
      <c r="K23" s="102" cm="1">
        <f t="array" ref="K23">SUMPRODUCT(IFERROR(VLOOKUP(E23:J23,'Response Options'!D14:E19,2,FALSE),0))</f>
        <v>9</v>
      </c>
      <c r="L23" s="103">
        <f t="shared" si="0"/>
        <v>3</v>
      </c>
      <c r="M23" s="104">
        <f t="shared" si="1"/>
        <v>3</v>
      </c>
      <c r="N23" s="232" t="str">
        <f>_xlfn.XLOOKUP(M23,'Response Options'!F5:F10,'Response Options'!D5:D10)</f>
        <v>Moderately Important</v>
      </c>
      <c r="O23" s="238" t="s">
        <v>92</v>
      </c>
    </row>
    <row r="24" spans="2:15" ht="16.5" x14ac:dyDescent="0.25">
      <c r="B24" s="70"/>
      <c r="C24" s="413"/>
      <c r="D24" s="79" t="s">
        <v>327</v>
      </c>
      <c r="E24" s="80"/>
      <c r="F24" s="80"/>
      <c r="G24" s="80"/>
      <c r="H24" s="80" t="str" cm="1">
        <f t="array" ref="H24">_xlfn.XLOOKUP("Improve Overall Comfort for all users",_xlfn.ANCHORARRAY( 'Outcome Priotization'!K12),'Outcome Priotization'!L12:L17)</f>
        <v>Third priority</v>
      </c>
      <c r="I24" s="80" t="str" cm="1">
        <f t="array" ref="I24">_xlfn.XLOOKUP("Improve Patient and Family Agency",_xlfn.ANCHORARRAY( 'Outcome Priotization'!K12),'Outcome Priotization'!L12:L17)</f>
        <v>Fifth priority</v>
      </c>
      <c r="J24" s="80" t="str" cm="1">
        <f t="array" ref="J24">_xlfn.XLOOKUP("Provide Patient Choice and Control",_xlfn.ANCHORARRAY( 'Outcome Priotization'!K12),'Outcome Priotization'!L12:L17)</f>
        <v>Second priority</v>
      </c>
      <c r="K24" s="102" cm="1">
        <f t="array" ref="K24">SUMPRODUCT(IFERROR(VLOOKUP(E24:J24,'Response Options'!D14:E19,2,FALSE),0))</f>
        <v>11</v>
      </c>
      <c r="L24" s="103">
        <f t="shared" si="0"/>
        <v>3.6666666666666665</v>
      </c>
      <c r="M24" s="104">
        <f t="shared" si="1"/>
        <v>4</v>
      </c>
      <c r="N24" s="232" t="str">
        <f>_xlfn.XLOOKUP(M24,'Response Options'!F5:F10,'Response Options'!D5:D10)</f>
        <v>Very Important</v>
      </c>
      <c r="O24" s="238" t="s">
        <v>92</v>
      </c>
    </row>
    <row r="25" spans="2:15" ht="33" x14ac:dyDescent="0.25">
      <c r="B25" s="70"/>
      <c r="C25" s="414" t="s">
        <v>328</v>
      </c>
      <c r="D25" s="81" t="s">
        <v>396</v>
      </c>
      <c r="E25" s="82"/>
      <c r="F25" s="82"/>
      <c r="G25" s="82"/>
      <c r="H25" s="82" t="str" cm="1">
        <f t="array" ref="H25">_xlfn.XLOOKUP("Improve Overall Comfort for all users",_xlfn.ANCHORARRAY( 'Outcome Priotization'!K12),'Outcome Priotization'!L12:L17)</f>
        <v>Third priority</v>
      </c>
      <c r="I25" s="82" t="str" cm="1">
        <f t="array" ref="I25">_xlfn.XLOOKUP("Improve Patient and Family Agency",_xlfn.ANCHORARRAY( 'Outcome Priotization'!K12),'Outcome Priotization'!L12:L17)</f>
        <v>Fifth priority</v>
      </c>
      <c r="J25" s="82" t="str" cm="1">
        <f t="array" ref="J25">_xlfn.XLOOKUP("Provide Patient Choice and Control",_xlfn.ANCHORARRAY( 'Outcome Priotization'!K12),'Outcome Priotization'!L12:L17)</f>
        <v>Second priority</v>
      </c>
      <c r="K25" s="102" cm="1">
        <f t="array" ref="K25">SUMPRODUCT(IFERROR(VLOOKUP(E25:J25,'Response Options'!D14:E19,2,FALSE),0))</f>
        <v>11</v>
      </c>
      <c r="L25" s="103">
        <f t="shared" si="0"/>
        <v>3.6666666666666665</v>
      </c>
      <c r="M25" s="104">
        <f t="shared" si="1"/>
        <v>4</v>
      </c>
      <c r="N25" s="232" t="str">
        <f>_xlfn.XLOOKUP(M25,'Response Options'!F5:F10,'Response Options'!D5:D10)</f>
        <v>Very Important</v>
      </c>
      <c r="O25" s="238" t="s">
        <v>92</v>
      </c>
    </row>
    <row r="26" spans="2:15" ht="17.25" thickBot="1" x14ac:dyDescent="0.3">
      <c r="B26" s="70"/>
      <c r="C26" s="415"/>
      <c r="D26" s="81" t="s">
        <v>329</v>
      </c>
      <c r="E26" s="82" t="str" cm="1">
        <f t="array" ref="E26">_xlfn.XLOOKUP("Improve Safety &amp; Security",_xlfn.ANCHORARRAY( 'Outcome Priotization'!K12),'Outcome Priotization'!L12:L17)</f>
        <v xml:space="preserve"> First priority</v>
      </c>
      <c r="F26" s="82" t="str" cm="1">
        <f t="array" ref="F26">_xlfn.XLOOKUP("Optimize Efficiency &amp; Effectiveness",_xlfn.ANCHORARRAY( 'Outcome Priotization'!K12),'Outcome Priotization'!L12:L17)</f>
        <v>Fourth priority</v>
      </c>
      <c r="G26" s="82"/>
      <c r="H26" s="82" t="str" cm="1">
        <f t="array" ref="H26">_xlfn.XLOOKUP("Improve Overall Comfort for all users",_xlfn.ANCHORARRAY( 'Outcome Priotization'!K12),'Outcome Priotization'!L12:L17)</f>
        <v>Third priority</v>
      </c>
      <c r="I26" s="82" t="str" cm="1">
        <f t="array" ref="I26">_xlfn.XLOOKUP("Improve Patient and Family Agency",_xlfn.ANCHORARRAY( 'Outcome Priotization'!K12),'Outcome Priotization'!L12:L17)</f>
        <v>Fifth priority</v>
      </c>
      <c r="J26" s="82"/>
      <c r="K26" s="102" cm="1">
        <f t="array" ref="K26">SUMPRODUCT(IFERROR(VLOOKUP(E26:J26,'Response Options'!D14:E19,2,FALSE),0))</f>
        <v>15</v>
      </c>
      <c r="L26" s="103">
        <f t="shared" si="0"/>
        <v>5</v>
      </c>
      <c r="M26" s="104">
        <f t="shared" si="1"/>
        <v>5</v>
      </c>
      <c r="N26" s="231" t="str">
        <f>_xlfn.XLOOKUP(M26,'Response Options'!F5:F10,'Response Options'!D5:D10)</f>
        <v>Extremely Important</v>
      </c>
      <c r="O26" s="239" t="s">
        <v>62</v>
      </c>
    </row>
    <row r="27" spans="2:15" ht="17.25" thickTop="1" x14ac:dyDescent="0.25">
      <c r="B27" s="83"/>
      <c r="C27" s="84"/>
      <c r="D27" s="84"/>
      <c r="E27" s="84"/>
      <c r="F27" s="84"/>
      <c r="G27" s="84"/>
      <c r="H27" s="84"/>
      <c r="I27" s="84"/>
      <c r="J27" s="84"/>
      <c r="K27" s="84"/>
      <c r="L27" s="84"/>
      <c r="M27" s="84"/>
      <c r="N27" s="84"/>
      <c r="O27" s="85"/>
    </row>
  </sheetData>
  <mergeCells count="10">
    <mergeCell ref="O10:O11"/>
    <mergeCell ref="C12:C14"/>
    <mergeCell ref="C15:C19"/>
    <mergeCell ref="C20:C24"/>
    <mergeCell ref="C25:C26"/>
    <mergeCell ref="C8:N8"/>
    <mergeCell ref="C10:C11"/>
    <mergeCell ref="D10:D11"/>
    <mergeCell ref="E10:J10"/>
    <mergeCell ref="N10:N11"/>
  </mergeCells>
  <conditionalFormatting sqref="D1:D1048576">
    <cfRule type="containsText" dxfId="16" priority="4" operator="containsText" text="Critically Important / Essential">
      <formula>NOT(ISERROR(SEARCH("Critically Important / Essential",#REF!)))</formula>
    </cfRule>
  </conditionalFormatting>
  <conditionalFormatting sqref="N12:N26">
    <cfRule type="containsText" dxfId="15" priority="1" operator="containsText" text="Moderately Important">
      <formula>NOT(ISERROR(SEARCH("Moderately Important",N12)))</formula>
    </cfRule>
    <cfRule type="containsText" dxfId="14" priority="3" operator="containsText" text="Slightly important">
      <formula>NOT(ISERROR(SEARCH("Slightly important",N12)))</formula>
    </cfRule>
    <cfRule type="containsText" dxfId="13" priority="5" operator="containsText" text="Very Important">
      <formula>NOT(ISERROR(SEARCH("Very Important",N12)))</formula>
    </cfRule>
    <cfRule type="containsText" dxfId="12" priority="6" operator="containsText" text="Extremely Important">
      <formula>NOT(ISERROR(SEARCH("Extremely Important",N12)))</formula>
    </cfRule>
    <cfRule type="containsText" dxfId="11" priority="7" operator="containsText" text="Critically Important / Essential">
      <formula>NOT(ISERROR(SEARCH("Critically Important / Essential",N12)))</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CD0CC2CC-73CB-4900-AC2E-F7E955CA4743}">
          <x14:formula1>
            <xm:f>'Response Options'!$D$5:$D$10</xm:f>
          </x14:formula1>
          <xm:sqref>O12:O26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E0F0F2-6414-48E9-BD19-BC8AD29C318A}">
  <sheetPr>
    <pageSetUpPr fitToPage="1"/>
  </sheetPr>
  <dimension ref="A1:AQ109"/>
  <sheetViews>
    <sheetView topLeftCell="A41" zoomScale="80" zoomScaleNormal="80" workbookViewId="0">
      <selection activeCell="E63" sqref="E63"/>
    </sheetView>
  </sheetViews>
  <sheetFormatPr defaultColWidth="9.140625" defaultRowHeight="16.5" x14ac:dyDescent="0.25"/>
  <cols>
    <col min="1" max="1" width="9.5703125" style="1" customWidth="1"/>
    <col min="2" max="2" width="10.85546875" style="218" customWidth="1"/>
    <col min="3" max="3" width="19.7109375" style="126" customWidth="1"/>
    <col min="4" max="4" width="97" style="3" customWidth="1"/>
    <col min="5" max="5" width="17.28515625" style="1" customWidth="1"/>
    <col min="6" max="6" width="29.7109375" style="284" customWidth="1"/>
    <col min="7" max="37" width="3" style="51" customWidth="1"/>
    <col min="38" max="38" width="65.140625" style="3" customWidth="1"/>
    <col min="39" max="40" width="6" style="1" customWidth="1"/>
    <col min="41" max="42" width="6.28515625" style="1" customWidth="1"/>
    <col min="43" max="43" width="32" style="1" customWidth="1"/>
    <col min="44" max="16384" width="9.140625" style="1"/>
  </cols>
  <sheetData>
    <row r="1" spans="1:43" ht="20.25" x14ac:dyDescent="0.25">
      <c r="A1" s="2"/>
      <c r="B1" s="219"/>
      <c r="C1" s="227" t="s">
        <v>387</v>
      </c>
      <c r="G1" s="493" t="s">
        <v>144</v>
      </c>
      <c r="H1" s="493"/>
      <c r="I1" s="493"/>
      <c r="J1" s="493"/>
      <c r="K1" s="493"/>
      <c r="L1" s="493"/>
      <c r="M1" s="493"/>
      <c r="N1" s="493"/>
      <c r="O1" s="493"/>
      <c r="P1" s="493"/>
      <c r="Q1" s="493"/>
      <c r="R1" s="493"/>
      <c r="S1" s="493"/>
      <c r="T1" s="493"/>
      <c r="U1" s="493"/>
      <c r="V1" s="493"/>
      <c r="W1" s="493"/>
      <c r="X1" s="493"/>
      <c r="Y1" s="493"/>
      <c r="Z1" s="493"/>
      <c r="AA1" s="493"/>
      <c r="AB1" s="493"/>
      <c r="AC1" s="493"/>
      <c r="AD1" s="493"/>
      <c r="AE1" s="493"/>
      <c r="AF1" s="493"/>
      <c r="AG1" s="493"/>
      <c r="AH1" s="493"/>
      <c r="AI1" s="493"/>
      <c r="AJ1" s="493"/>
      <c r="AK1" s="494"/>
      <c r="AM1" s="71" t="s">
        <v>385</v>
      </c>
    </row>
    <row r="2" spans="1:43" s="4" customFormat="1" ht="57" customHeight="1" x14ac:dyDescent="0.25">
      <c r="B2" s="220"/>
      <c r="C2" s="1" t="s">
        <v>330</v>
      </c>
      <c r="D2" s="3" t="s">
        <v>394</v>
      </c>
      <c r="E2" s="229"/>
      <c r="F2" s="5"/>
      <c r="G2" s="541" t="s">
        <v>59</v>
      </c>
      <c r="H2" s="541"/>
      <c r="I2" s="541"/>
      <c r="J2" s="541"/>
      <c r="K2" s="541"/>
      <c r="L2" s="541"/>
      <c r="M2" s="541"/>
      <c r="N2" s="541"/>
      <c r="O2" s="542"/>
      <c r="P2" s="543" t="s">
        <v>67</v>
      </c>
      <c r="Q2" s="541"/>
      <c r="R2" s="541"/>
      <c r="S2" s="541"/>
      <c r="T2" s="542"/>
      <c r="U2" s="543" t="s">
        <v>69</v>
      </c>
      <c r="V2" s="541"/>
      <c r="W2" s="541"/>
      <c r="X2" s="541"/>
      <c r="Y2" s="542"/>
      <c r="Z2" s="543" t="s">
        <v>73</v>
      </c>
      <c r="AA2" s="541"/>
      <c r="AB2" s="541"/>
      <c r="AC2" s="541"/>
      <c r="AD2" s="542"/>
      <c r="AE2" s="543" t="s">
        <v>78</v>
      </c>
      <c r="AF2" s="541"/>
      <c r="AG2" s="541"/>
      <c r="AH2" s="542"/>
      <c r="AI2" s="543" t="s">
        <v>82</v>
      </c>
      <c r="AJ2" s="541"/>
      <c r="AK2" s="544"/>
      <c r="AL2" s="211"/>
      <c r="AM2" s="73"/>
    </row>
    <row r="3" spans="1:43" s="4" customFormat="1" ht="167.25" customHeight="1" thickBot="1" x14ac:dyDescent="0.3">
      <c r="A3" s="212" t="s">
        <v>304</v>
      </c>
      <c r="B3" s="212" t="s">
        <v>55</v>
      </c>
      <c r="C3" s="212" t="s">
        <v>305</v>
      </c>
      <c r="D3" s="213" t="s">
        <v>331</v>
      </c>
      <c r="E3" s="228" t="s">
        <v>332</v>
      </c>
      <c r="F3" s="306" t="s">
        <v>363</v>
      </c>
      <c r="G3" s="291" t="s">
        <v>60</v>
      </c>
      <c r="H3" s="292" t="s">
        <v>64</v>
      </c>
      <c r="I3" s="292" t="s">
        <v>416</v>
      </c>
      <c r="J3" s="292" t="s">
        <v>71</v>
      </c>
      <c r="K3" s="292" t="s">
        <v>75</v>
      </c>
      <c r="L3" s="292" t="s">
        <v>384</v>
      </c>
      <c r="M3" s="292" t="s">
        <v>84</v>
      </c>
      <c r="N3" s="292" t="s">
        <v>87</v>
      </c>
      <c r="O3" s="292" t="s">
        <v>90</v>
      </c>
      <c r="P3" s="291" t="s">
        <v>411</v>
      </c>
      <c r="Q3" s="291" t="s">
        <v>93</v>
      </c>
      <c r="R3" s="291" t="s">
        <v>95</v>
      </c>
      <c r="S3" s="291" t="s">
        <v>97</v>
      </c>
      <c r="T3" s="291" t="s">
        <v>99</v>
      </c>
      <c r="U3" s="291" t="s">
        <v>101</v>
      </c>
      <c r="V3" s="291" t="s">
        <v>103</v>
      </c>
      <c r="W3" s="291" t="s">
        <v>105</v>
      </c>
      <c r="X3" s="291" t="s">
        <v>107</v>
      </c>
      <c r="Y3" s="291" t="s">
        <v>109</v>
      </c>
      <c r="Z3" s="291" t="s">
        <v>112</v>
      </c>
      <c r="AA3" s="291" t="s">
        <v>114</v>
      </c>
      <c r="AB3" s="291" t="s">
        <v>116</v>
      </c>
      <c r="AC3" s="291" t="s">
        <v>118</v>
      </c>
      <c r="AD3" s="291" t="s">
        <v>120</v>
      </c>
      <c r="AE3" s="291" t="s">
        <v>122</v>
      </c>
      <c r="AF3" s="291" t="s">
        <v>124</v>
      </c>
      <c r="AG3" s="291" t="s">
        <v>126</v>
      </c>
      <c r="AH3" s="291" t="s">
        <v>128</v>
      </c>
      <c r="AI3" s="293" t="s">
        <v>130</v>
      </c>
      <c r="AJ3" s="293" t="s">
        <v>132</v>
      </c>
      <c r="AK3" s="294" t="s">
        <v>134</v>
      </c>
      <c r="AL3" s="213" t="s">
        <v>333</v>
      </c>
      <c r="AM3" s="545" t="s">
        <v>403</v>
      </c>
      <c r="AN3" s="430"/>
      <c r="AO3" s="430"/>
      <c r="AP3" s="285"/>
    </row>
    <row r="4" spans="1:43" x14ac:dyDescent="0.25">
      <c r="A4" s="516" t="s">
        <v>313</v>
      </c>
      <c r="B4" s="518" t="str">
        <f>'Guideline Prioritization'!O12</f>
        <v>Critically Important / Essential</v>
      </c>
      <c r="C4" s="521" t="s">
        <v>314</v>
      </c>
      <c r="D4" s="295" t="s">
        <v>360</v>
      </c>
      <c r="E4" s="384" t="s">
        <v>335</v>
      </c>
      <c r="F4" s="307" t="s">
        <v>145</v>
      </c>
      <c r="G4" s="315" t="s">
        <v>371</v>
      </c>
      <c r="H4" s="316"/>
      <c r="I4" s="316"/>
      <c r="J4" s="316"/>
      <c r="K4" s="316"/>
      <c r="L4" s="316"/>
      <c r="M4" s="316"/>
      <c r="N4" s="316"/>
      <c r="O4" s="317" t="s">
        <v>371</v>
      </c>
      <c r="P4" s="315"/>
      <c r="Q4" s="316"/>
      <c r="R4" s="316"/>
      <c r="S4" s="316"/>
      <c r="T4" s="318"/>
      <c r="U4" s="315"/>
      <c r="V4" s="316"/>
      <c r="W4" s="316"/>
      <c r="X4" s="316"/>
      <c r="Y4" s="318"/>
      <c r="Z4" s="315"/>
      <c r="AA4" s="316"/>
      <c r="AB4" s="316"/>
      <c r="AC4" s="316"/>
      <c r="AD4" s="318"/>
      <c r="AE4" s="315"/>
      <c r="AF4" s="316"/>
      <c r="AG4" s="316"/>
      <c r="AH4" s="318"/>
      <c r="AI4" s="315"/>
      <c r="AJ4" s="316"/>
      <c r="AK4" s="319"/>
      <c r="AL4" s="296"/>
      <c r="AM4" s="297">
        <v>3.2</v>
      </c>
      <c r="AN4" s="297">
        <v>3.1</v>
      </c>
      <c r="AO4" s="297"/>
      <c r="AP4" s="298"/>
    </row>
    <row r="5" spans="1:43" x14ac:dyDescent="0.25">
      <c r="A5" s="517"/>
      <c r="B5" s="519"/>
      <c r="C5" s="522"/>
      <c r="D5" s="210" t="s">
        <v>361</v>
      </c>
      <c r="E5" s="385" t="s">
        <v>335</v>
      </c>
      <c r="F5" s="287" t="s">
        <v>145</v>
      </c>
      <c r="G5" s="320" t="s">
        <v>370</v>
      </c>
      <c r="H5" s="321"/>
      <c r="I5" s="321"/>
      <c r="J5" s="322"/>
      <c r="K5" s="321"/>
      <c r="L5" s="322"/>
      <c r="M5" s="321"/>
      <c r="N5" s="321"/>
      <c r="O5" s="322" t="s">
        <v>371</v>
      </c>
      <c r="P5" s="323"/>
      <c r="Q5" s="324"/>
      <c r="R5" s="324"/>
      <c r="S5" s="324"/>
      <c r="T5" s="325"/>
      <c r="U5" s="323"/>
      <c r="V5" s="324"/>
      <c r="W5" s="324"/>
      <c r="X5" s="324"/>
      <c r="Y5" s="325"/>
      <c r="Z5" s="323"/>
      <c r="AA5" s="324"/>
      <c r="AB5" s="324"/>
      <c r="AC5" s="324"/>
      <c r="AD5" s="325"/>
      <c r="AE5" s="323"/>
      <c r="AF5" s="324"/>
      <c r="AG5" s="324"/>
      <c r="AH5" s="325"/>
      <c r="AI5" s="323"/>
      <c r="AJ5" s="324"/>
      <c r="AK5" s="326"/>
      <c r="AL5" s="209"/>
      <c r="AM5" s="288">
        <v>3.2</v>
      </c>
      <c r="AN5" s="288"/>
      <c r="AO5" s="288"/>
      <c r="AP5" s="299"/>
    </row>
    <row r="6" spans="1:43" ht="17.25" customHeight="1" x14ac:dyDescent="0.25">
      <c r="A6" s="517"/>
      <c r="B6" s="519"/>
      <c r="C6" s="522"/>
      <c r="D6" s="210" t="s">
        <v>367</v>
      </c>
      <c r="E6" s="385" t="s">
        <v>334</v>
      </c>
      <c r="F6" s="287" t="s">
        <v>145</v>
      </c>
      <c r="G6" s="327"/>
      <c r="H6" s="322" t="s">
        <v>371</v>
      </c>
      <c r="I6" s="322" t="s">
        <v>371</v>
      </c>
      <c r="J6" s="321"/>
      <c r="K6" s="321"/>
      <c r="L6" s="321"/>
      <c r="M6" s="321"/>
      <c r="N6" s="321"/>
      <c r="O6" s="322" t="s">
        <v>371</v>
      </c>
      <c r="P6" s="327"/>
      <c r="Q6" s="321"/>
      <c r="R6" s="321"/>
      <c r="S6" s="321"/>
      <c r="T6" s="328"/>
      <c r="U6" s="327"/>
      <c r="V6" s="321"/>
      <c r="W6" s="321"/>
      <c r="X6" s="321"/>
      <c r="Y6" s="328"/>
      <c r="Z6" s="327"/>
      <c r="AA6" s="321"/>
      <c r="AB6" s="321"/>
      <c r="AC6" s="321"/>
      <c r="AD6" s="328"/>
      <c r="AE6" s="327"/>
      <c r="AF6" s="321"/>
      <c r="AG6" s="321"/>
      <c r="AH6" s="328"/>
      <c r="AI6" s="327"/>
      <c r="AJ6" s="321"/>
      <c r="AK6" s="329"/>
      <c r="AL6" s="209"/>
      <c r="AM6" s="71"/>
      <c r="AN6" s="288"/>
      <c r="AO6" s="288"/>
      <c r="AP6" s="299"/>
    </row>
    <row r="7" spans="1:43" x14ac:dyDescent="0.25">
      <c r="A7" s="517"/>
      <c r="B7" s="519"/>
      <c r="C7" s="522"/>
      <c r="D7" s="210" t="s">
        <v>368</v>
      </c>
      <c r="E7" s="385" t="s">
        <v>336</v>
      </c>
      <c r="F7" s="287" t="s">
        <v>433</v>
      </c>
      <c r="G7" s="330"/>
      <c r="H7" s="322"/>
      <c r="I7" s="322" t="s">
        <v>371</v>
      </c>
      <c r="J7" s="322"/>
      <c r="K7" s="322"/>
      <c r="L7" s="322"/>
      <c r="M7" s="322"/>
      <c r="N7" s="322"/>
      <c r="O7" s="322" t="s">
        <v>371</v>
      </c>
      <c r="P7" s="330"/>
      <c r="Q7" s="322"/>
      <c r="R7" s="322"/>
      <c r="S7" s="322"/>
      <c r="T7" s="331"/>
      <c r="U7" s="330"/>
      <c r="V7" s="322"/>
      <c r="W7" s="322"/>
      <c r="X7" s="322"/>
      <c r="Y7" s="331"/>
      <c r="Z7" s="330"/>
      <c r="AA7" s="322"/>
      <c r="AB7" s="322"/>
      <c r="AC7" s="322"/>
      <c r="AD7" s="331"/>
      <c r="AE7" s="330"/>
      <c r="AF7" s="322"/>
      <c r="AG7" s="322"/>
      <c r="AH7" s="331"/>
      <c r="AI7" s="330"/>
      <c r="AJ7" s="322"/>
      <c r="AK7" s="332"/>
      <c r="AL7" s="209" t="s">
        <v>364</v>
      </c>
      <c r="AM7" s="71"/>
      <c r="AN7" s="288"/>
      <c r="AO7" s="288"/>
      <c r="AP7" s="299"/>
    </row>
    <row r="8" spans="1:43" ht="18" customHeight="1" x14ac:dyDescent="0.25">
      <c r="A8" s="517"/>
      <c r="B8" s="519"/>
      <c r="C8" s="522"/>
      <c r="D8" s="210" t="s">
        <v>369</v>
      </c>
      <c r="E8" s="385" t="s">
        <v>334</v>
      </c>
      <c r="F8" s="287" t="s">
        <v>145</v>
      </c>
      <c r="G8" s="320"/>
      <c r="H8" s="322" t="s">
        <v>371</v>
      </c>
      <c r="I8" s="322" t="s">
        <v>371</v>
      </c>
      <c r="J8" s="322"/>
      <c r="K8" s="322"/>
      <c r="L8" s="322"/>
      <c r="M8" s="322"/>
      <c r="N8" s="322"/>
      <c r="O8" s="322" t="s">
        <v>371</v>
      </c>
      <c r="P8" s="312"/>
      <c r="Q8" s="314"/>
      <c r="R8" s="314"/>
      <c r="S8" s="314"/>
      <c r="T8" s="333"/>
      <c r="U8" s="312"/>
      <c r="V8" s="314"/>
      <c r="W8" s="314"/>
      <c r="X8" s="314"/>
      <c r="Y8" s="333"/>
      <c r="Z8" s="312"/>
      <c r="AA8" s="314"/>
      <c r="AB8" s="314"/>
      <c r="AC8" s="314"/>
      <c r="AD8" s="333"/>
      <c r="AE8" s="312"/>
      <c r="AF8" s="314"/>
      <c r="AG8" s="314"/>
      <c r="AH8" s="333"/>
      <c r="AI8" s="312"/>
      <c r="AJ8" s="314"/>
      <c r="AK8" s="334"/>
      <c r="AL8" s="209"/>
      <c r="AM8" s="71"/>
      <c r="AN8" s="288"/>
      <c r="AO8" s="288"/>
      <c r="AP8" s="299"/>
    </row>
    <row r="9" spans="1:43" ht="32.25" customHeight="1" thickBot="1" x14ac:dyDescent="0.3">
      <c r="A9" s="517"/>
      <c r="B9" s="520"/>
      <c r="C9" s="523"/>
      <c r="D9" s="216" t="s">
        <v>362</v>
      </c>
      <c r="E9" s="386" t="s">
        <v>335</v>
      </c>
      <c r="F9" s="289" t="s">
        <v>145</v>
      </c>
      <c r="G9" s="335"/>
      <c r="H9" s="336" t="s">
        <v>371</v>
      </c>
      <c r="I9" s="337"/>
      <c r="J9" s="337"/>
      <c r="K9" s="337"/>
      <c r="L9" s="337"/>
      <c r="M9" s="337"/>
      <c r="N9" s="337"/>
      <c r="O9" s="336" t="s">
        <v>371</v>
      </c>
      <c r="P9" s="313"/>
      <c r="Q9" s="338"/>
      <c r="R9" s="338"/>
      <c r="S9" s="338"/>
      <c r="T9" s="339"/>
      <c r="U9" s="313"/>
      <c r="V9" s="338"/>
      <c r="W9" s="338"/>
      <c r="X9" s="338"/>
      <c r="Y9" s="339"/>
      <c r="Z9" s="313"/>
      <c r="AA9" s="338"/>
      <c r="AB9" s="338"/>
      <c r="AC9" s="338"/>
      <c r="AD9" s="339"/>
      <c r="AE9" s="313"/>
      <c r="AF9" s="338"/>
      <c r="AG9" s="338"/>
      <c r="AH9" s="339"/>
      <c r="AI9" s="313"/>
      <c r="AJ9" s="338"/>
      <c r="AK9" s="340"/>
      <c r="AL9" s="18"/>
      <c r="AM9" s="71"/>
      <c r="AN9" s="288"/>
      <c r="AO9" s="288"/>
      <c r="AP9" s="299"/>
    </row>
    <row r="10" spans="1:43" ht="18" customHeight="1" thickTop="1" x14ac:dyDescent="0.25">
      <c r="A10" s="517"/>
      <c r="B10" s="509" t="str">
        <f>'Guideline Prioritization'!O13</f>
        <v>Very Important</v>
      </c>
      <c r="C10" s="513" t="s">
        <v>315</v>
      </c>
      <c r="D10" s="214" t="s">
        <v>372</v>
      </c>
      <c r="E10" s="383" t="s">
        <v>335</v>
      </c>
      <c r="F10" s="308" t="s">
        <v>147</v>
      </c>
      <c r="G10" s="327" t="s">
        <v>371</v>
      </c>
      <c r="H10" s="314"/>
      <c r="I10" s="314"/>
      <c r="J10" s="314"/>
      <c r="K10" s="314"/>
      <c r="L10" s="321" t="s">
        <v>371</v>
      </c>
      <c r="M10" s="321" t="s">
        <v>371</v>
      </c>
      <c r="N10" s="314"/>
      <c r="O10" s="333"/>
      <c r="P10" s="327" t="s">
        <v>371</v>
      </c>
      <c r="Q10" s="314"/>
      <c r="R10" s="314"/>
      <c r="S10" s="314"/>
      <c r="T10" s="333"/>
      <c r="U10" s="312"/>
      <c r="V10" s="314"/>
      <c r="W10" s="314"/>
      <c r="X10" s="314"/>
      <c r="Y10" s="333"/>
      <c r="Z10" s="312"/>
      <c r="AA10" s="314"/>
      <c r="AB10" s="314"/>
      <c r="AC10" s="314"/>
      <c r="AD10" s="333"/>
      <c r="AE10" s="312"/>
      <c r="AF10" s="314"/>
      <c r="AG10" s="314"/>
      <c r="AH10" s="333"/>
      <c r="AI10" s="312"/>
      <c r="AJ10" s="314"/>
      <c r="AK10" s="334"/>
      <c r="AL10" s="215"/>
      <c r="AM10" s="71"/>
      <c r="AN10" s="288"/>
      <c r="AO10" s="288"/>
      <c r="AP10" s="299"/>
    </row>
    <row r="11" spans="1:43" ht="33" x14ac:dyDescent="0.25">
      <c r="A11" s="517"/>
      <c r="B11" s="510"/>
      <c r="C11" s="513"/>
      <c r="D11" s="210" t="s">
        <v>381</v>
      </c>
      <c r="E11" s="385" t="s">
        <v>335</v>
      </c>
      <c r="F11" s="287" t="s">
        <v>432</v>
      </c>
      <c r="G11" s="327" t="s">
        <v>371</v>
      </c>
      <c r="H11" s="314"/>
      <c r="I11" s="314"/>
      <c r="J11" s="314"/>
      <c r="K11" s="314"/>
      <c r="L11" s="321" t="s">
        <v>371</v>
      </c>
      <c r="M11" s="321" t="s">
        <v>371</v>
      </c>
      <c r="N11" s="314"/>
      <c r="O11" s="331"/>
      <c r="P11" s="314"/>
      <c r="Q11" s="314"/>
      <c r="R11" s="314"/>
      <c r="S11" s="314"/>
      <c r="T11" s="331"/>
      <c r="U11" s="314"/>
      <c r="V11" s="314"/>
      <c r="W11" s="314"/>
      <c r="X11" s="314"/>
      <c r="Y11" s="331"/>
      <c r="Z11" s="314"/>
      <c r="AA11" s="314"/>
      <c r="AB11" s="314"/>
      <c r="AC11" s="314"/>
      <c r="AD11" s="331"/>
      <c r="AE11" s="314"/>
      <c r="AF11" s="314"/>
      <c r="AG11" s="314"/>
      <c r="AH11" s="331"/>
      <c r="AI11" s="314"/>
      <c r="AJ11" s="314"/>
      <c r="AK11" s="334"/>
      <c r="AL11" s="18"/>
      <c r="AM11" s="71"/>
      <c r="AN11" s="288"/>
      <c r="AO11" s="288"/>
      <c r="AP11" s="299"/>
    </row>
    <row r="12" spans="1:43" ht="33" x14ac:dyDescent="0.25">
      <c r="A12" s="517"/>
      <c r="B12" s="510"/>
      <c r="C12" s="513"/>
      <c r="D12" s="210" t="s">
        <v>383</v>
      </c>
      <c r="E12" s="385" t="s">
        <v>335</v>
      </c>
      <c r="F12" s="287" t="s">
        <v>432</v>
      </c>
      <c r="G12" s="327" t="s">
        <v>371</v>
      </c>
      <c r="H12" s="314"/>
      <c r="I12" s="314"/>
      <c r="J12" s="314"/>
      <c r="K12" s="314"/>
      <c r="L12" s="321" t="s">
        <v>371</v>
      </c>
      <c r="M12" s="321" t="s">
        <v>371</v>
      </c>
      <c r="N12" s="322"/>
      <c r="O12" s="331"/>
      <c r="P12" s="327" t="s">
        <v>371</v>
      </c>
      <c r="Q12" s="322"/>
      <c r="R12" s="322"/>
      <c r="S12" s="322"/>
      <c r="T12" s="331"/>
      <c r="U12" s="322"/>
      <c r="V12" s="322"/>
      <c r="W12" s="322"/>
      <c r="X12" s="322"/>
      <c r="Y12" s="331"/>
      <c r="Z12" s="322"/>
      <c r="AA12" s="321"/>
      <c r="AB12" s="322"/>
      <c r="AC12" s="322"/>
      <c r="AD12" s="331"/>
      <c r="AE12" s="322"/>
      <c r="AF12" s="322"/>
      <c r="AG12" s="322"/>
      <c r="AH12" s="331"/>
      <c r="AI12" s="322"/>
      <c r="AJ12" s="322"/>
      <c r="AK12" s="332"/>
      <c r="AL12" s="18"/>
      <c r="AM12" s="71"/>
      <c r="AN12" s="288"/>
      <c r="AO12" s="288"/>
      <c r="AP12" s="299"/>
    </row>
    <row r="13" spans="1:43" ht="33" x14ac:dyDescent="0.25">
      <c r="A13" s="517"/>
      <c r="B13" s="510"/>
      <c r="C13" s="513"/>
      <c r="D13" s="210" t="s">
        <v>382</v>
      </c>
      <c r="E13" s="385" t="s">
        <v>335</v>
      </c>
      <c r="F13" s="287" t="s">
        <v>432</v>
      </c>
      <c r="G13" s="327" t="s">
        <v>371</v>
      </c>
      <c r="H13" s="314"/>
      <c r="I13" s="314"/>
      <c r="J13" s="321" t="s">
        <v>371</v>
      </c>
      <c r="K13" s="314"/>
      <c r="L13" s="321" t="s">
        <v>371</v>
      </c>
      <c r="M13" s="321" t="s">
        <v>371</v>
      </c>
      <c r="N13" s="322"/>
      <c r="O13" s="331"/>
      <c r="P13" s="327" t="s">
        <v>371</v>
      </c>
      <c r="Q13" s="322"/>
      <c r="R13" s="322"/>
      <c r="S13" s="322"/>
      <c r="T13" s="331"/>
      <c r="U13" s="322"/>
      <c r="V13" s="322"/>
      <c r="W13" s="322"/>
      <c r="X13" s="322"/>
      <c r="Y13" s="331"/>
      <c r="Z13" s="322"/>
      <c r="AA13" s="322"/>
      <c r="AB13" s="322"/>
      <c r="AC13" s="322"/>
      <c r="AD13" s="331"/>
      <c r="AE13" s="322"/>
      <c r="AF13" s="322"/>
      <c r="AG13" s="322"/>
      <c r="AH13" s="331"/>
      <c r="AI13" s="322"/>
      <c r="AJ13" s="322"/>
      <c r="AK13" s="332"/>
      <c r="AL13" s="18"/>
      <c r="AM13" s="71"/>
      <c r="AN13" s="288"/>
      <c r="AO13" s="288"/>
      <c r="AP13" s="299"/>
    </row>
    <row r="14" spans="1:43" x14ac:dyDescent="0.25">
      <c r="A14" s="517"/>
      <c r="B14" s="510"/>
      <c r="C14" s="513"/>
      <c r="D14" s="210" t="s">
        <v>373</v>
      </c>
      <c r="E14" s="385" t="s">
        <v>335</v>
      </c>
      <c r="F14" s="287" t="s">
        <v>146</v>
      </c>
      <c r="G14" s="327" t="s">
        <v>371</v>
      </c>
      <c r="H14" s="314"/>
      <c r="I14" s="314"/>
      <c r="J14" s="314"/>
      <c r="K14" s="314"/>
      <c r="L14" s="321" t="s">
        <v>371</v>
      </c>
      <c r="M14" s="321" t="s">
        <v>371</v>
      </c>
      <c r="N14" s="314"/>
      <c r="O14" s="331"/>
      <c r="P14" s="327" t="s">
        <v>371</v>
      </c>
      <c r="Q14" s="314"/>
      <c r="R14" s="314"/>
      <c r="S14" s="314"/>
      <c r="T14" s="331"/>
      <c r="U14" s="314"/>
      <c r="V14" s="314"/>
      <c r="W14" s="314"/>
      <c r="X14" s="314"/>
      <c r="Y14" s="331"/>
      <c r="Z14" s="314"/>
      <c r="AA14" s="314"/>
      <c r="AB14" s="314"/>
      <c r="AC14" s="314"/>
      <c r="AD14" s="331"/>
      <c r="AE14" s="314"/>
      <c r="AF14" s="314"/>
      <c r="AG14" s="314"/>
      <c r="AH14" s="331"/>
      <c r="AI14" s="314"/>
      <c r="AJ14" s="314"/>
      <c r="AK14" s="334"/>
      <c r="AL14" s="18"/>
      <c r="AM14" s="71"/>
      <c r="AN14" s="288"/>
      <c r="AO14" s="288"/>
      <c r="AP14" s="299"/>
    </row>
    <row r="15" spans="1:43" ht="19.5" customHeight="1" x14ac:dyDescent="0.25">
      <c r="A15" s="517"/>
      <c r="B15" s="510"/>
      <c r="C15" s="513"/>
      <c r="D15" s="210" t="s">
        <v>374</v>
      </c>
      <c r="E15" s="385" t="s">
        <v>334</v>
      </c>
      <c r="F15" s="287" t="s">
        <v>145</v>
      </c>
      <c r="G15" s="327" t="s">
        <v>371</v>
      </c>
      <c r="H15" s="314"/>
      <c r="I15" s="314"/>
      <c r="J15" s="314"/>
      <c r="K15" s="314"/>
      <c r="L15" s="321" t="s">
        <v>371</v>
      </c>
      <c r="M15" s="321" t="s">
        <v>371</v>
      </c>
      <c r="N15" s="314"/>
      <c r="O15" s="331"/>
      <c r="P15" s="314"/>
      <c r="Q15" s="314"/>
      <c r="R15" s="314"/>
      <c r="S15" s="314"/>
      <c r="T15" s="331"/>
      <c r="U15" s="314"/>
      <c r="V15" s="314"/>
      <c r="W15" s="314"/>
      <c r="X15" s="314"/>
      <c r="Y15" s="331"/>
      <c r="Z15" s="314"/>
      <c r="AA15" s="321"/>
      <c r="AB15" s="314"/>
      <c r="AC15" s="314"/>
      <c r="AD15" s="331"/>
      <c r="AE15" s="314"/>
      <c r="AF15" s="314"/>
      <c r="AG15" s="314"/>
      <c r="AH15" s="331"/>
      <c r="AI15" s="314"/>
      <c r="AJ15" s="314"/>
      <c r="AK15" s="334"/>
      <c r="AL15" s="224" t="s">
        <v>420</v>
      </c>
      <c r="AM15" s="380">
        <v>10.199999999999999</v>
      </c>
      <c r="AN15" s="381">
        <v>3.5</v>
      </c>
      <c r="AO15" s="381"/>
      <c r="AP15" s="382"/>
      <c r="AQ15" s="1" t="s">
        <v>421</v>
      </c>
    </row>
    <row r="16" spans="1:43" ht="33" x14ac:dyDescent="0.25">
      <c r="A16" s="517"/>
      <c r="B16" s="510"/>
      <c r="C16" s="513"/>
      <c r="D16" s="210" t="s">
        <v>375</v>
      </c>
      <c r="E16" s="385" t="s">
        <v>335</v>
      </c>
      <c r="F16" s="287" t="s">
        <v>145</v>
      </c>
      <c r="G16" s="327" t="s">
        <v>371</v>
      </c>
      <c r="H16" s="314"/>
      <c r="I16" s="314"/>
      <c r="J16" s="314"/>
      <c r="K16" s="314"/>
      <c r="L16" s="321" t="s">
        <v>371</v>
      </c>
      <c r="M16" s="321" t="s">
        <v>371</v>
      </c>
      <c r="N16" s="314"/>
      <c r="O16" s="331"/>
      <c r="P16" s="327" t="s">
        <v>371</v>
      </c>
      <c r="Q16" s="314"/>
      <c r="R16" s="314"/>
      <c r="S16" s="314"/>
      <c r="T16" s="331"/>
      <c r="U16" s="314"/>
      <c r="V16" s="314"/>
      <c r="W16" s="314"/>
      <c r="X16" s="314"/>
      <c r="Y16" s="331"/>
      <c r="Z16" s="314"/>
      <c r="AA16" s="314"/>
      <c r="AB16" s="314"/>
      <c r="AC16" s="314"/>
      <c r="AD16" s="331"/>
      <c r="AE16" s="314"/>
      <c r="AF16" s="314"/>
      <c r="AG16" s="314"/>
      <c r="AH16" s="331"/>
      <c r="AI16" s="314"/>
      <c r="AJ16" s="314"/>
      <c r="AK16" s="334"/>
      <c r="AL16" s="224"/>
      <c r="AM16" s="71"/>
      <c r="AN16" s="288"/>
      <c r="AO16" s="288"/>
      <c r="AP16" s="299"/>
    </row>
    <row r="17" spans="1:42" ht="33" x14ac:dyDescent="0.25">
      <c r="A17" s="517"/>
      <c r="B17" s="510"/>
      <c r="C17" s="513"/>
      <c r="D17" s="210" t="s">
        <v>376</v>
      </c>
      <c r="E17" s="385" t="s">
        <v>335</v>
      </c>
      <c r="F17" s="287" t="s">
        <v>146</v>
      </c>
      <c r="G17" s="327" t="s">
        <v>371</v>
      </c>
      <c r="H17" s="314"/>
      <c r="I17" s="314"/>
      <c r="J17" s="314"/>
      <c r="K17" s="314"/>
      <c r="L17" s="321" t="s">
        <v>371</v>
      </c>
      <c r="M17" s="321" t="s">
        <v>371</v>
      </c>
      <c r="N17" s="322"/>
      <c r="O17" s="331"/>
      <c r="P17" s="327" t="s">
        <v>371</v>
      </c>
      <c r="Q17" s="322"/>
      <c r="R17" s="322"/>
      <c r="S17" s="322"/>
      <c r="T17" s="331"/>
      <c r="U17" s="330"/>
      <c r="V17" s="322"/>
      <c r="W17" s="322"/>
      <c r="X17" s="322"/>
      <c r="Y17" s="331"/>
      <c r="Z17" s="330"/>
      <c r="AA17" s="322"/>
      <c r="AB17" s="322"/>
      <c r="AC17" s="322"/>
      <c r="AD17" s="331"/>
      <c r="AE17" s="330"/>
      <c r="AF17" s="322"/>
      <c r="AG17" s="322"/>
      <c r="AH17" s="331"/>
      <c r="AI17" s="330"/>
      <c r="AJ17" s="322"/>
      <c r="AK17" s="332"/>
      <c r="AL17" s="209"/>
      <c r="AM17" s="71"/>
      <c r="AN17" s="288"/>
      <c r="AO17" s="288"/>
      <c r="AP17" s="299"/>
    </row>
    <row r="18" spans="1:42" x14ac:dyDescent="0.25">
      <c r="A18" s="517"/>
      <c r="B18" s="510"/>
      <c r="C18" s="513"/>
      <c r="D18" s="210" t="s">
        <v>377</v>
      </c>
      <c r="E18" s="385" t="s">
        <v>335</v>
      </c>
      <c r="F18" s="287" t="s">
        <v>146</v>
      </c>
      <c r="G18" s="327" t="s">
        <v>371</v>
      </c>
      <c r="H18" s="314"/>
      <c r="I18" s="314"/>
      <c r="J18" s="314"/>
      <c r="K18" s="314"/>
      <c r="L18" s="321" t="s">
        <v>371</v>
      </c>
      <c r="M18" s="321" t="s">
        <v>371</v>
      </c>
      <c r="N18" s="314"/>
      <c r="O18" s="333"/>
      <c r="P18" s="312"/>
      <c r="Q18" s="314"/>
      <c r="R18" s="314"/>
      <c r="S18" s="314"/>
      <c r="T18" s="333"/>
      <c r="U18" s="312"/>
      <c r="V18" s="314"/>
      <c r="W18" s="314"/>
      <c r="X18" s="314"/>
      <c r="Y18" s="333"/>
      <c r="Z18" s="312"/>
      <c r="AA18" s="314"/>
      <c r="AB18" s="314"/>
      <c r="AC18" s="314"/>
      <c r="AD18" s="333"/>
      <c r="AE18" s="312"/>
      <c r="AF18" s="314"/>
      <c r="AG18" s="314"/>
      <c r="AH18" s="333"/>
      <c r="AI18" s="312"/>
      <c r="AJ18" s="314"/>
      <c r="AK18" s="334"/>
      <c r="AL18" s="209"/>
      <c r="AM18" s="71"/>
      <c r="AN18" s="288"/>
      <c r="AO18" s="288"/>
      <c r="AP18" s="299"/>
    </row>
    <row r="19" spans="1:42" x14ac:dyDescent="0.25">
      <c r="A19" s="517"/>
      <c r="B19" s="510"/>
      <c r="C19" s="513"/>
      <c r="D19" s="210" t="s">
        <v>378</v>
      </c>
      <c r="E19" s="385" t="s">
        <v>335</v>
      </c>
      <c r="F19" s="287" t="s">
        <v>146</v>
      </c>
      <c r="G19" s="327" t="s">
        <v>371</v>
      </c>
      <c r="H19" s="314"/>
      <c r="I19" s="314"/>
      <c r="J19" s="314"/>
      <c r="K19" s="314"/>
      <c r="L19" s="321" t="s">
        <v>371</v>
      </c>
      <c r="M19" s="321" t="s">
        <v>371</v>
      </c>
      <c r="N19" s="314"/>
      <c r="O19" s="333"/>
      <c r="P19" s="327" t="s">
        <v>371</v>
      </c>
      <c r="Q19" s="314"/>
      <c r="R19" s="314"/>
      <c r="S19" s="314"/>
      <c r="T19" s="333"/>
      <c r="U19" s="312"/>
      <c r="V19" s="314"/>
      <c r="W19" s="314"/>
      <c r="X19" s="314"/>
      <c r="Y19" s="333"/>
      <c r="Z19" s="312"/>
      <c r="AA19" s="314"/>
      <c r="AB19" s="314"/>
      <c r="AC19" s="314"/>
      <c r="AD19" s="333"/>
      <c r="AE19" s="312"/>
      <c r="AF19" s="314"/>
      <c r="AG19" s="314"/>
      <c r="AH19" s="333"/>
      <c r="AI19" s="312"/>
      <c r="AJ19" s="314"/>
      <c r="AK19" s="334"/>
      <c r="AL19" s="209"/>
      <c r="AM19" s="71"/>
      <c r="AN19" s="288"/>
      <c r="AO19" s="288"/>
      <c r="AP19" s="299"/>
    </row>
    <row r="20" spans="1:42" ht="33" x14ac:dyDescent="0.25">
      <c r="A20" s="517"/>
      <c r="B20" s="510"/>
      <c r="C20" s="513"/>
      <c r="D20" s="210" t="s">
        <v>379</v>
      </c>
      <c r="E20" s="385" t="s">
        <v>335</v>
      </c>
      <c r="F20" s="308" t="s">
        <v>147</v>
      </c>
      <c r="G20" s="327" t="s">
        <v>371</v>
      </c>
      <c r="H20" s="314"/>
      <c r="I20" s="314"/>
      <c r="J20" s="314"/>
      <c r="K20" s="314"/>
      <c r="L20" s="321" t="s">
        <v>371</v>
      </c>
      <c r="M20" s="321" t="s">
        <v>371</v>
      </c>
      <c r="N20" s="314"/>
      <c r="O20" s="333"/>
      <c r="P20" s="327" t="s">
        <v>371</v>
      </c>
      <c r="Q20" s="314"/>
      <c r="R20" s="314"/>
      <c r="S20" s="314"/>
      <c r="T20" s="333"/>
      <c r="U20" s="312"/>
      <c r="V20" s="314"/>
      <c r="W20" s="314"/>
      <c r="X20" s="314"/>
      <c r="Y20" s="333"/>
      <c r="Z20" s="312"/>
      <c r="AA20" s="314"/>
      <c r="AB20" s="314"/>
      <c r="AC20" s="314"/>
      <c r="AD20" s="333"/>
      <c r="AE20" s="312"/>
      <c r="AF20" s="314"/>
      <c r="AG20" s="314"/>
      <c r="AH20" s="333"/>
      <c r="AI20" s="312"/>
      <c r="AJ20" s="314"/>
      <c r="AK20" s="334"/>
      <c r="AL20" s="209"/>
      <c r="AM20" s="71"/>
      <c r="AN20" s="288"/>
      <c r="AO20" s="288"/>
      <c r="AP20" s="299"/>
    </row>
    <row r="21" spans="1:42" ht="17.25" thickBot="1" x14ac:dyDescent="0.3">
      <c r="A21" s="517"/>
      <c r="B21" s="511"/>
      <c r="C21" s="514"/>
      <c r="D21" s="216" t="s">
        <v>380</v>
      </c>
      <c r="E21" s="225" t="s">
        <v>335</v>
      </c>
      <c r="F21" s="287" t="s">
        <v>146</v>
      </c>
      <c r="G21" s="341" t="s">
        <v>371</v>
      </c>
      <c r="H21" s="338"/>
      <c r="I21" s="338"/>
      <c r="J21" s="338"/>
      <c r="K21" s="338"/>
      <c r="L21" s="336" t="s">
        <v>371</v>
      </c>
      <c r="M21" s="336" t="s">
        <v>371</v>
      </c>
      <c r="N21" s="338"/>
      <c r="O21" s="339"/>
      <c r="P21" s="342" t="s">
        <v>371</v>
      </c>
      <c r="Q21" s="338"/>
      <c r="R21" s="338"/>
      <c r="S21" s="338"/>
      <c r="T21" s="339"/>
      <c r="U21" s="313"/>
      <c r="V21" s="338"/>
      <c r="W21" s="338"/>
      <c r="X21" s="338"/>
      <c r="Y21" s="339"/>
      <c r="Z21" s="313"/>
      <c r="AA21" s="338"/>
      <c r="AB21" s="338"/>
      <c r="AC21" s="338"/>
      <c r="AD21" s="339"/>
      <c r="AE21" s="313"/>
      <c r="AF21" s="338"/>
      <c r="AG21" s="338"/>
      <c r="AH21" s="339"/>
      <c r="AI21" s="313"/>
      <c r="AJ21" s="338"/>
      <c r="AK21" s="340"/>
      <c r="AL21" s="209"/>
      <c r="AM21" s="71"/>
      <c r="AN21" s="288"/>
      <c r="AO21" s="288"/>
      <c r="AP21" s="299"/>
    </row>
    <row r="22" spans="1:42" ht="33.75" thickTop="1" x14ac:dyDescent="0.25">
      <c r="A22" s="517"/>
      <c r="B22" s="509" t="str">
        <f>'Guideline Prioritization'!O14</f>
        <v>Moderately Important</v>
      </c>
      <c r="C22" s="515" t="s">
        <v>395</v>
      </c>
      <c r="D22" s="222" t="s">
        <v>386</v>
      </c>
      <c r="E22" s="226" t="s">
        <v>336</v>
      </c>
      <c r="F22" s="309" t="s">
        <v>145</v>
      </c>
      <c r="G22" s="343"/>
      <c r="H22" s="314"/>
      <c r="I22" s="314"/>
      <c r="J22" s="314"/>
      <c r="K22" s="314"/>
      <c r="L22" s="314"/>
      <c r="M22" s="314"/>
      <c r="N22" s="314" t="s">
        <v>371</v>
      </c>
      <c r="O22" s="333"/>
      <c r="P22" s="312"/>
      <c r="Q22" s="314"/>
      <c r="R22" s="314"/>
      <c r="S22" s="314"/>
      <c r="T22" s="333"/>
      <c r="U22" s="312"/>
      <c r="V22" s="314"/>
      <c r="W22" s="314"/>
      <c r="X22" s="314"/>
      <c r="Y22" s="333"/>
      <c r="Z22" s="312"/>
      <c r="AA22" s="314"/>
      <c r="AB22" s="314" t="s">
        <v>371</v>
      </c>
      <c r="AC22" s="314"/>
      <c r="AD22" s="333"/>
      <c r="AE22" s="312"/>
      <c r="AF22" s="314"/>
      <c r="AG22" s="324"/>
      <c r="AH22" s="333" t="s">
        <v>371</v>
      </c>
      <c r="AI22" s="312"/>
      <c r="AJ22" s="314"/>
      <c r="AK22" s="334"/>
      <c r="AL22" s="209"/>
      <c r="AM22" s="71">
        <v>1.1000000000000001</v>
      </c>
      <c r="AN22" s="288"/>
      <c r="AO22" s="288"/>
      <c r="AP22" s="299"/>
    </row>
    <row r="23" spans="1:42" ht="17.45" customHeight="1" x14ac:dyDescent="0.25">
      <c r="A23" s="517"/>
      <c r="B23" s="510"/>
      <c r="C23" s="513"/>
      <c r="D23" s="210" t="s">
        <v>417</v>
      </c>
      <c r="E23" s="383" t="s">
        <v>335</v>
      </c>
      <c r="F23" s="287" t="s">
        <v>145</v>
      </c>
      <c r="G23" s="320"/>
      <c r="H23" s="321"/>
      <c r="I23" s="321"/>
      <c r="J23" s="322"/>
      <c r="K23" s="321"/>
      <c r="L23" s="322"/>
      <c r="M23" s="321"/>
      <c r="N23" s="322" t="s">
        <v>371</v>
      </c>
      <c r="O23" s="328"/>
      <c r="P23" s="324"/>
      <c r="Q23" s="324"/>
      <c r="R23" s="324"/>
      <c r="S23" s="324"/>
      <c r="T23" s="325"/>
      <c r="U23" s="324"/>
      <c r="V23" s="324"/>
      <c r="W23" s="324"/>
      <c r="X23" s="324"/>
      <c r="Y23" s="325"/>
      <c r="Z23" s="324"/>
      <c r="AA23" s="324"/>
      <c r="AB23" s="314" t="s">
        <v>371</v>
      </c>
      <c r="AC23" s="324"/>
      <c r="AD23" s="325"/>
      <c r="AE23" s="324"/>
      <c r="AF23" s="324"/>
      <c r="AG23" s="324"/>
      <c r="AH23" s="333" t="s">
        <v>371</v>
      </c>
      <c r="AI23" s="324"/>
      <c r="AJ23" s="324"/>
      <c r="AK23" s="326"/>
      <c r="AL23" s="209" t="s">
        <v>365</v>
      </c>
      <c r="AM23" s="71">
        <v>1.1000000000000001</v>
      </c>
      <c r="AN23" s="288">
        <v>1.2</v>
      </c>
      <c r="AO23" s="288"/>
      <c r="AP23" s="299"/>
    </row>
    <row r="24" spans="1:42" x14ac:dyDescent="0.25">
      <c r="A24" s="517"/>
      <c r="B24" s="510"/>
      <c r="C24" s="513"/>
      <c r="D24" s="210" t="s">
        <v>418</v>
      </c>
      <c r="E24" s="385" t="s">
        <v>335</v>
      </c>
      <c r="F24" s="310" t="s">
        <v>432</v>
      </c>
      <c r="G24" s="343"/>
      <c r="H24" s="314"/>
      <c r="I24" s="314"/>
      <c r="J24" s="314"/>
      <c r="K24" s="314" t="s">
        <v>371</v>
      </c>
      <c r="L24" s="314"/>
      <c r="M24" s="314"/>
      <c r="N24" s="314"/>
      <c r="O24" s="333"/>
      <c r="P24" s="312"/>
      <c r="Q24" s="314"/>
      <c r="R24" s="314"/>
      <c r="S24" s="314"/>
      <c r="T24" s="333"/>
      <c r="U24" s="312"/>
      <c r="V24" s="314"/>
      <c r="W24" s="314"/>
      <c r="X24" s="314"/>
      <c r="Y24" s="333"/>
      <c r="Z24" s="312"/>
      <c r="AA24" s="314"/>
      <c r="AB24" s="314" t="s">
        <v>371</v>
      </c>
      <c r="AC24" s="314"/>
      <c r="AD24" s="333"/>
      <c r="AE24" s="312"/>
      <c r="AF24" s="314"/>
      <c r="AG24" s="314"/>
      <c r="AH24" s="333"/>
      <c r="AI24" s="312"/>
      <c r="AJ24" s="314"/>
      <c r="AK24" s="334"/>
      <c r="AL24" s="209"/>
      <c r="AM24" s="71"/>
      <c r="AN24" s="288"/>
      <c r="AO24" s="288"/>
      <c r="AP24" s="299"/>
    </row>
    <row r="25" spans="1:42" x14ac:dyDescent="0.25">
      <c r="A25" s="517"/>
      <c r="B25" s="510"/>
      <c r="C25" s="513"/>
      <c r="D25" s="210" t="s">
        <v>419</v>
      </c>
      <c r="E25" s="385" t="s">
        <v>335</v>
      </c>
      <c r="F25" s="310" t="s">
        <v>432</v>
      </c>
      <c r="G25" s="343"/>
      <c r="H25" s="314"/>
      <c r="I25" s="314"/>
      <c r="J25" s="314"/>
      <c r="K25" s="321"/>
      <c r="L25" s="314" t="s">
        <v>371</v>
      </c>
      <c r="M25" s="314"/>
      <c r="N25" s="314" t="s">
        <v>371</v>
      </c>
      <c r="O25" s="333"/>
      <c r="P25" s="324"/>
      <c r="Q25" s="314"/>
      <c r="R25" s="314"/>
      <c r="S25" s="314"/>
      <c r="T25" s="333"/>
      <c r="U25" s="312"/>
      <c r="V25" s="314"/>
      <c r="W25" s="314"/>
      <c r="X25" s="314"/>
      <c r="Y25" s="333"/>
      <c r="Z25" s="312"/>
      <c r="AA25" s="314"/>
      <c r="AB25" s="314" t="s">
        <v>371</v>
      </c>
      <c r="AC25" s="314"/>
      <c r="AD25" s="333"/>
      <c r="AE25" s="312"/>
      <c r="AF25" s="314"/>
      <c r="AG25" s="314"/>
      <c r="AH25" s="333"/>
      <c r="AI25" s="312"/>
      <c r="AJ25" s="314"/>
      <c r="AK25" s="334"/>
      <c r="AL25" s="209"/>
      <c r="AM25" s="71"/>
      <c r="AN25" s="288"/>
      <c r="AO25" s="288"/>
      <c r="AP25" s="299"/>
    </row>
    <row r="26" spans="1:42" ht="17.25" thickBot="1" x14ac:dyDescent="0.3">
      <c r="A26" s="517"/>
      <c r="B26" s="510"/>
      <c r="C26" s="513"/>
      <c r="D26" s="210" t="s">
        <v>462</v>
      </c>
      <c r="E26" s="385" t="s">
        <v>335</v>
      </c>
      <c r="F26" s="311" t="s">
        <v>432</v>
      </c>
      <c r="G26" s="343"/>
      <c r="H26" s="314"/>
      <c r="I26" s="314"/>
      <c r="J26" s="314"/>
      <c r="K26" s="314"/>
      <c r="L26" s="314"/>
      <c r="M26" s="314"/>
      <c r="N26" s="314"/>
      <c r="O26" s="333"/>
      <c r="P26" s="313"/>
      <c r="Q26" s="314"/>
      <c r="R26" s="314"/>
      <c r="S26" s="314"/>
      <c r="T26" s="333"/>
      <c r="U26" s="312"/>
      <c r="V26" s="314"/>
      <c r="W26" s="314"/>
      <c r="X26" s="314"/>
      <c r="Y26" s="333"/>
      <c r="Z26" s="312"/>
      <c r="AA26" s="314"/>
      <c r="AB26" s="314"/>
      <c r="AC26" s="314"/>
      <c r="AD26" s="333"/>
      <c r="AE26" s="312"/>
      <c r="AF26" s="314"/>
      <c r="AG26" s="314"/>
      <c r="AH26" s="333"/>
      <c r="AI26" s="312"/>
      <c r="AJ26" s="314"/>
      <c r="AK26" s="334"/>
      <c r="AL26" s="209"/>
      <c r="AM26" s="71">
        <v>2.6</v>
      </c>
      <c r="AN26" s="288"/>
      <c r="AO26" s="288"/>
      <c r="AP26" s="299"/>
    </row>
    <row r="27" spans="1:42" ht="17.25" thickTop="1" x14ac:dyDescent="0.25">
      <c r="A27" s="539" t="s">
        <v>316</v>
      </c>
      <c r="B27" s="509" t="str">
        <f>'Guideline Prioritization'!O15</f>
        <v>Very Important</v>
      </c>
      <c r="C27" s="534" t="s">
        <v>317</v>
      </c>
      <c r="D27" s="222" t="s">
        <v>397</v>
      </c>
      <c r="E27" s="387" t="s">
        <v>335</v>
      </c>
      <c r="F27" s="395" t="s">
        <v>145</v>
      </c>
      <c r="G27" s="344"/>
      <c r="H27" s="345"/>
      <c r="I27" s="345"/>
      <c r="J27" s="345"/>
      <c r="K27" s="345"/>
      <c r="L27" s="345"/>
      <c r="M27" s="345"/>
      <c r="N27" s="345"/>
      <c r="O27" s="346"/>
      <c r="P27" s="314" t="s">
        <v>371</v>
      </c>
      <c r="Q27" s="345"/>
      <c r="R27" s="345"/>
      <c r="S27" s="345"/>
      <c r="T27" s="346"/>
      <c r="U27" s="347"/>
      <c r="V27" s="345"/>
      <c r="W27" s="345"/>
      <c r="X27" s="345"/>
      <c r="Y27" s="346"/>
      <c r="Z27" s="347"/>
      <c r="AA27" s="345"/>
      <c r="AB27" s="345"/>
      <c r="AC27" s="345"/>
      <c r="AD27" s="346"/>
      <c r="AE27" s="347"/>
      <c r="AF27" s="345"/>
      <c r="AG27" s="345"/>
      <c r="AH27" s="346"/>
      <c r="AI27" s="347"/>
      <c r="AJ27" s="345"/>
      <c r="AK27" s="348"/>
      <c r="AL27" s="209"/>
      <c r="AM27" s="71"/>
      <c r="AN27" s="288"/>
      <c r="AO27" s="288"/>
      <c r="AP27" s="299"/>
    </row>
    <row r="28" spans="1:42" x14ac:dyDescent="0.25">
      <c r="A28" s="540"/>
      <c r="B28" s="510"/>
      <c r="C28" s="532"/>
      <c r="D28" s="210" t="s">
        <v>398</v>
      </c>
      <c r="E28" s="385" t="s">
        <v>335</v>
      </c>
      <c r="F28" s="287" t="s">
        <v>146</v>
      </c>
      <c r="G28" s="343"/>
      <c r="H28" s="314"/>
      <c r="I28" s="314"/>
      <c r="J28" s="314"/>
      <c r="K28" s="314"/>
      <c r="L28" s="314"/>
      <c r="M28" s="314"/>
      <c r="N28" s="314"/>
      <c r="O28" s="333"/>
      <c r="P28" s="314" t="s">
        <v>371</v>
      </c>
      <c r="Q28" s="314"/>
      <c r="R28" s="314"/>
      <c r="S28" s="314"/>
      <c r="T28" s="333"/>
      <c r="U28" s="312"/>
      <c r="V28" s="314"/>
      <c r="W28" s="314"/>
      <c r="X28" s="314"/>
      <c r="Y28" s="333"/>
      <c r="Z28" s="312"/>
      <c r="AA28" s="314"/>
      <c r="AB28" s="314"/>
      <c r="AC28" s="314"/>
      <c r="AD28" s="333"/>
      <c r="AE28" s="312"/>
      <c r="AF28" s="314"/>
      <c r="AG28" s="314"/>
      <c r="AH28" s="333"/>
      <c r="AI28" s="312"/>
      <c r="AJ28" s="314"/>
      <c r="AK28" s="334"/>
      <c r="AL28" s="209"/>
      <c r="AM28" s="71"/>
      <c r="AN28" s="288"/>
      <c r="AO28" s="288"/>
      <c r="AP28" s="299"/>
    </row>
    <row r="29" spans="1:42" ht="14.45" customHeight="1" x14ac:dyDescent="0.25">
      <c r="A29" s="540"/>
      <c r="B29" s="510"/>
      <c r="C29" s="532"/>
      <c r="D29" s="210" t="s">
        <v>399</v>
      </c>
      <c r="E29" s="385" t="s">
        <v>335</v>
      </c>
      <c r="F29" s="395" t="s">
        <v>145</v>
      </c>
      <c r="G29" s="343"/>
      <c r="H29" s="314"/>
      <c r="I29" s="314"/>
      <c r="J29" s="314"/>
      <c r="K29" s="314"/>
      <c r="L29" s="314"/>
      <c r="M29" s="314"/>
      <c r="N29" s="314"/>
      <c r="O29" s="333"/>
      <c r="P29" s="314" t="s">
        <v>371</v>
      </c>
      <c r="Q29" s="314"/>
      <c r="R29" s="314"/>
      <c r="S29" s="314"/>
      <c r="T29" s="333"/>
      <c r="U29" s="312"/>
      <c r="V29" s="314"/>
      <c r="W29" s="314"/>
      <c r="X29" s="314"/>
      <c r="Y29" s="333"/>
      <c r="Z29" s="312"/>
      <c r="AA29" s="314" t="s">
        <v>371</v>
      </c>
      <c r="AB29" s="314"/>
      <c r="AC29" s="314"/>
      <c r="AD29" s="333"/>
      <c r="AE29" s="312"/>
      <c r="AF29" s="314"/>
      <c r="AG29" s="314"/>
      <c r="AH29" s="333"/>
      <c r="AI29" s="312"/>
      <c r="AJ29" s="314"/>
      <c r="AK29" s="334"/>
      <c r="AL29" s="209" t="s">
        <v>447</v>
      </c>
      <c r="AM29" s="71"/>
      <c r="AN29" s="288"/>
      <c r="AO29" s="288"/>
      <c r="AP29" s="299"/>
    </row>
    <row r="30" spans="1:42" x14ac:dyDescent="0.25">
      <c r="A30" s="540"/>
      <c r="B30" s="510"/>
      <c r="C30" s="532"/>
      <c r="D30" s="210" t="s">
        <v>400</v>
      </c>
      <c r="E30" s="385" t="s">
        <v>335</v>
      </c>
      <c r="F30" s="287" t="s">
        <v>146</v>
      </c>
      <c r="G30" s="343"/>
      <c r="H30" s="314"/>
      <c r="I30" s="314"/>
      <c r="J30" s="314"/>
      <c r="K30" s="314"/>
      <c r="L30" s="314"/>
      <c r="M30" s="314"/>
      <c r="N30" s="314"/>
      <c r="O30" s="333"/>
      <c r="P30" s="314" t="s">
        <v>371</v>
      </c>
      <c r="Q30" s="314"/>
      <c r="R30" s="314"/>
      <c r="S30" s="314"/>
      <c r="T30" s="333"/>
      <c r="U30" s="312"/>
      <c r="V30" s="314"/>
      <c r="W30" s="314"/>
      <c r="X30" s="314"/>
      <c r="Y30" s="333"/>
      <c r="Z30" s="312"/>
      <c r="AA30" s="314"/>
      <c r="AB30" s="314"/>
      <c r="AC30" s="314"/>
      <c r="AD30" s="333"/>
      <c r="AE30" s="312"/>
      <c r="AF30" s="314"/>
      <c r="AG30" s="314"/>
      <c r="AH30" s="333"/>
      <c r="AI30" s="312"/>
      <c r="AJ30" s="314"/>
      <c r="AK30" s="334"/>
      <c r="AL30" s="209"/>
      <c r="AM30" s="71"/>
      <c r="AN30" s="288"/>
      <c r="AO30" s="288"/>
      <c r="AP30" s="299"/>
    </row>
    <row r="31" spans="1:42" x14ac:dyDescent="0.25">
      <c r="A31" s="540"/>
      <c r="B31" s="510"/>
      <c r="C31" s="532"/>
      <c r="D31" s="210" t="s">
        <v>401</v>
      </c>
      <c r="E31" s="385" t="s">
        <v>335</v>
      </c>
      <c r="F31" s="287" t="s">
        <v>146</v>
      </c>
      <c r="G31" s="330"/>
      <c r="H31" s="322"/>
      <c r="I31" s="322"/>
      <c r="J31" s="322"/>
      <c r="K31" s="322"/>
      <c r="L31" s="314"/>
      <c r="M31" s="322"/>
      <c r="N31" s="322"/>
      <c r="O31" s="331"/>
      <c r="P31" s="314" t="s">
        <v>371</v>
      </c>
      <c r="Q31" s="322"/>
      <c r="R31" s="322"/>
      <c r="S31" s="322"/>
      <c r="T31" s="331"/>
      <c r="U31" s="330"/>
      <c r="V31" s="322"/>
      <c r="W31" s="322"/>
      <c r="X31" s="322"/>
      <c r="Y31" s="331"/>
      <c r="Z31" s="330"/>
      <c r="AA31" s="322"/>
      <c r="AB31" s="322"/>
      <c r="AC31" s="322"/>
      <c r="AD31" s="331"/>
      <c r="AE31" s="330"/>
      <c r="AF31" s="322"/>
      <c r="AG31" s="322"/>
      <c r="AH31" s="331"/>
      <c r="AI31" s="330"/>
      <c r="AJ31" s="322"/>
      <c r="AK31" s="332"/>
      <c r="AL31" s="209"/>
      <c r="AM31" s="71"/>
      <c r="AN31" s="288"/>
      <c r="AO31" s="288"/>
      <c r="AP31" s="299"/>
    </row>
    <row r="32" spans="1:42" ht="17.25" customHeight="1" x14ac:dyDescent="0.25">
      <c r="A32" s="540"/>
      <c r="B32" s="510"/>
      <c r="C32" s="532"/>
      <c r="D32" s="210" t="s">
        <v>402</v>
      </c>
      <c r="E32" s="385" t="s">
        <v>335</v>
      </c>
      <c r="F32" s="287" t="s">
        <v>146</v>
      </c>
      <c r="G32" s="330"/>
      <c r="H32" s="322"/>
      <c r="I32" s="322"/>
      <c r="J32" s="322"/>
      <c r="K32" s="322"/>
      <c r="L32" s="322"/>
      <c r="M32" s="322"/>
      <c r="N32" s="322"/>
      <c r="O32" s="331"/>
      <c r="P32" s="314" t="s">
        <v>371</v>
      </c>
      <c r="Q32" s="322"/>
      <c r="R32" s="322"/>
      <c r="S32" s="322"/>
      <c r="T32" s="331"/>
      <c r="U32" s="330"/>
      <c r="V32" s="322"/>
      <c r="W32" s="322"/>
      <c r="X32" s="322"/>
      <c r="Y32" s="331"/>
      <c r="Z32" s="330"/>
      <c r="AA32" s="322"/>
      <c r="AB32" s="322"/>
      <c r="AC32" s="322"/>
      <c r="AD32" s="331"/>
      <c r="AE32" s="330"/>
      <c r="AF32" s="322"/>
      <c r="AG32" s="322"/>
      <c r="AH32" s="331"/>
      <c r="AI32" s="330"/>
      <c r="AJ32" s="322"/>
      <c r="AK32" s="332"/>
      <c r="AL32" s="209"/>
      <c r="AM32" s="71"/>
      <c r="AN32" s="288"/>
      <c r="AO32" s="288"/>
      <c r="AP32" s="299"/>
    </row>
    <row r="33" spans="1:42" x14ac:dyDescent="0.25">
      <c r="A33" s="540"/>
      <c r="B33" s="510"/>
      <c r="C33" s="532"/>
      <c r="D33" s="210" t="s">
        <v>442</v>
      </c>
      <c r="E33" s="385" t="s">
        <v>335</v>
      </c>
      <c r="F33" s="287" t="s">
        <v>146</v>
      </c>
      <c r="G33" s="320"/>
      <c r="H33" s="322"/>
      <c r="I33" s="322"/>
      <c r="J33" s="322"/>
      <c r="K33" s="322"/>
      <c r="L33" s="322"/>
      <c r="M33" s="322"/>
      <c r="N33" s="322"/>
      <c r="O33" s="331"/>
      <c r="P33" s="314" t="s">
        <v>371</v>
      </c>
      <c r="Q33" s="322"/>
      <c r="R33" s="314" t="s">
        <v>371</v>
      </c>
      <c r="S33" s="322"/>
      <c r="T33" s="314" t="s">
        <v>371</v>
      </c>
      <c r="U33" s="330"/>
      <c r="V33" s="322"/>
      <c r="W33" s="322"/>
      <c r="X33" s="322"/>
      <c r="Y33" s="331"/>
      <c r="Z33" s="322"/>
      <c r="AA33" s="322"/>
      <c r="AB33" s="322"/>
      <c r="AC33" s="314" t="s">
        <v>371</v>
      </c>
      <c r="AD33" s="331"/>
      <c r="AE33" s="322"/>
      <c r="AF33" s="322"/>
      <c r="AG33" s="322"/>
      <c r="AH33" s="331"/>
      <c r="AI33" s="322"/>
      <c r="AJ33" s="322"/>
      <c r="AK33" s="332"/>
      <c r="AL33" s="224"/>
      <c r="AM33" s="71">
        <v>5.2</v>
      </c>
      <c r="AN33" s="288">
        <v>5.6</v>
      </c>
      <c r="AO33" s="288"/>
      <c r="AP33" s="299"/>
    </row>
    <row r="34" spans="1:42" x14ac:dyDescent="0.25">
      <c r="A34" s="540"/>
      <c r="B34" s="510"/>
      <c r="C34" s="532"/>
      <c r="D34" s="210" t="s">
        <v>443</v>
      </c>
      <c r="E34" s="385" t="s">
        <v>335</v>
      </c>
      <c r="F34" s="287" t="s">
        <v>145</v>
      </c>
      <c r="G34" s="330"/>
      <c r="H34" s="322"/>
      <c r="I34" s="314" t="s">
        <v>371</v>
      </c>
      <c r="J34" s="322"/>
      <c r="K34" s="322"/>
      <c r="L34" s="322"/>
      <c r="M34" s="322"/>
      <c r="N34" s="322"/>
      <c r="O34" s="331"/>
      <c r="P34" s="330"/>
      <c r="Q34" s="322"/>
      <c r="R34" s="322"/>
      <c r="S34" s="322"/>
      <c r="T34" s="331"/>
      <c r="U34" s="330"/>
      <c r="V34" s="314" t="s">
        <v>371</v>
      </c>
      <c r="W34" s="322"/>
      <c r="X34" s="322"/>
      <c r="Y34" s="331"/>
      <c r="Z34" s="330"/>
      <c r="AA34" s="322"/>
      <c r="AB34" s="322"/>
      <c r="AC34" s="314" t="s">
        <v>371</v>
      </c>
      <c r="AD34" s="331"/>
      <c r="AE34" s="330"/>
      <c r="AF34" s="322"/>
      <c r="AG34" s="322"/>
      <c r="AH34" s="331"/>
      <c r="AI34" s="330"/>
      <c r="AJ34" s="322"/>
      <c r="AK34" s="332"/>
      <c r="AL34" s="209"/>
      <c r="AM34" s="71"/>
      <c r="AN34" s="288"/>
      <c r="AO34" s="288"/>
      <c r="AP34" s="299"/>
    </row>
    <row r="35" spans="1:42" x14ac:dyDescent="0.25">
      <c r="A35" s="540"/>
      <c r="B35" s="510"/>
      <c r="C35" s="532"/>
      <c r="D35" s="210" t="s">
        <v>444</v>
      </c>
      <c r="E35" s="385" t="s">
        <v>335</v>
      </c>
      <c r="F35" s="287" t="s">
        <v>146</v>
      </c>
      <c r="G35" s="343"/>
      <c r="H35" s="314"/>
      <c r="I35" s="314" t="s">
        <v>371</v>
      </c>
      <c r="J35" s="314"/>
      <c r="K35" s="314"/>
      <c r="L35" s="314"/>
      <c r="M35" s="314"/>
      <c r="N35" s="314"/>
      <c r="O35" s="333"/>
      <c r="P35" s="312"/>
      <c r="Q35" s="314"/>
      <c r="R35" s="314" t="s">
        <v>371</v>
      </c>
      <c r="S35" s="314"/>
      <c r="T35" s="314" t="s">
        <v>371</v>
      </c>
      <c r="U35" s="330"/>
      <c r="V35" s="314" t="s">
        <v>371</v>
      </c>
      <c r="W35" s="322"/>
      <c r="X35" s="322"/>
      <c r="Y35" s="331"/>
      <c r="Z35" s="330"/>
      <c r="AA35" s="322"/>
      <c r="AB35" s="322"/>
      <c r="AC35" s="314" t="s">
        <v>371</v>
      </c>
      <c r="AD35" s="331"/>
      <c r="AE35" s="330"/>
      <c r="AF35" s="322"/>
      <c r="AG35" s="322"/>
      <c r="AH35" s="331"/>
      <c r="AI35" s="330"/>
      <c r="AJ35" s="322"/>
      <c r="AK35" s="332"/>
      <c r="AL35" s="209"/>
      <c r="AM35" s="71">
        <v>5.2</v>
      </c>
      <c r="AN35" s="288">
        <v>5.6</v>
      </c>
      <c r="AO35" s="288"/>
      <c r="AP35" s="299"/>
    </row>
    <row r="36" spans="1:42" x14ac:dyDescent="0.25">
      <c r="A36" s="540"/>
      <c r="B36" s="510"/>
      <c r="C36" s="532"/>
      <c r="D36" s="210" t="s">
        <v>445</v>
      </c>
      <c r="E36" s="385" t="s">
        <v>335</v>
      </c>
      <c r="F36" s="287" t="s">
        <v>145</v>
      </c>
      <c r="G36" s="343"/>
      <c r="H36" s="314"/>
      <c r="I36" s="314" t="s">
        <v>371</v>
      </c>
      <c r="J36" s="314"/>
      <c r="K36" s="314"/>
      <c r="L36" s="314"/>
      <c r="M36" s="314"/>
      <c r="N36" s="314"/>
      <c r="O36" s="333"/>
      <c r="P36" s="312"/>
      <c r="Q36" s="314"/>
      <c r="R36" s="314"/>
      <c r="S36" s="314"/>
      <c r="T36" s="333"/>
      <c r="U36" s="349"/>
      <c r="V36" s="314" t="s">
        <v>371</v>
      </c>
      <c r="W36" s="350"/>
      <c r="X36" s="350"/>
      <c r="Y36" s="351"/>
      <c r="Z36" s="349"/>
      <c r="AA36" s="350"/>
      <c r="AB36" s="350"/>
      <c r="AC36" s="314" t="s">
        <v>371</v>
      </c>
      <c r="AD36" s="351"/>
      <c r="AE36" s="349"/>
      <c r="AF36" s="350"/>
      <c r="AG36" s="350"/>
      <c r="AH36" s="351"/>
      <c r="AI36" s="349"/>
      <c r="AJ36" s="350"/>
      <c r="AK36" s="352"/>
      <c r="AL36" s="209"/>
      <c r="AM36" s="71"/>
      <c r="AN36" s="288"/>
      <c r="AO36" s="288"/>
      <c r="AP36" s="299"/>
    </row>
    <row r="37" spans="1:42" ht="33" x14ac:dyDescent="0.25">
      <c r="A37" s="540"/>
      <c r="B37" s="510"/>
      <c r="C37" s="532"/>
      <c r="D37" s="210" t="s">
        <v>446</v>
      </c>
      <c r="E37" s="385" t="s">
        <v>335</v>
      </c>
      <c r="F37" s="287" t="s">
        <v>145</v>
      </c>
      <c r="G37" s="353"/>
      <c r="H37" s="354"/>
      <c r="I37" s="354" t="s">
        <v>371</v>
      </c>
      <c r="J37" s="354"/>
      <c r="K37" s="354"/>
      <c r="L37" s="354"/>
      <c r="M37" s="354"/>
      <c r="N37" s="354"/>
      <c r="O37" s="355"/>
      <c r="P37" s="354"/>
      <c r="Q37" s="354"/>
      <c r="R37" s="354"/>
      <c r="S37" s="354"/>
      <c r="T37" s="356"/>
      <c r="U37" s="354"/>
      <c r="V37" s="354" t="s">
        <v>371</v>
      </c>
      <c r="W37" s="354"/>
      <c r="X37" s="354"/>
      <c r="Y37" s="355"/>
      <c r="Z37" s="354"/>
      <c r="AA37" s="354"/>
      <c r="AB37" s="354"/>
      <c r="AC37" s="354"/>
      <c r="AD37" s="355"/>
      <c r="AE37" s="354"/>
      <c r="AF37" s="354"/>
      <c r="AG37" s="354"/>
      <c r="AH37" s="355"/>
      <c r="AI37" s="354"/>
      <c r="AJ37" s="354"/>
      <c r="AK37" s="357"/>
      <c r="AL37" s="209"/>
      <c r="AM37" s="71"/>
      <c r="AN37" s="288"/>
      <c r="AO37" s="288"/>
      <c r="AP37" s="299"/>
    </row>
    <row r="38" spans="1:42" x14ac:dyDescent="0.25">
      <c r="A38" s="540"/>
      <c r="B38" s="510"/>
      <c r="C38" s="532"/>
      <c r="D38" s="210" t="s">
        <v>448</v>
      </c>
      <c r="E38" s="385" t="s">
        <v>335</v>
      </c>
      <c r="F38" s="287" t="s">
        <v>146</v>
      </c>
      <c r="G38" s="330"/>
      <c r="H38" s="322"/>
      <c r="I38" s="322"/>
      <c r="J38" s="322"/>
      <c r="K38" s="322"/>
      <c r="L38" s="322"/>
      <c r="M38" s="322"/>
      <c r="N38" s="322"/>
      <c r="O38" s="331"/>
      <c r="P38" s="314" t="s">
        <v>371</v>
      </c>
      <c r="Q38" s="322"/>
      <c r="R38" s="322"/>
      <c r="S38" s="322"/>
      <c r="T38" s="331"/>
      <c r="U38" s="330"/>
      <c r="V38" s="314" t="s">
        <v>371</v>
      </c>
      <c r="W38" s="322"/>
      <c r="X38" s="322"/>
      <c r="Y38" s="331"/>
      <c r="Z38" s="330"/>
      <c r="AA38" s="322"/>
      <c r="AB38" s="322"/>
      <c r="AC38" s="322"/>
      <c r="AD38" s="331"/>
      <c r="AE38" s="330"/>
      <c r="AF38" s="322"/>
      <c r="AG38" s="322"/>
      <c r="AH38" s="331"/>
      <c r="AI38" s="330"/>
      <c r="AJ38" s="322"/>
      <c r="AK38" s="332"/>
      <c r="AL38" s="209"/>
      <c r="AM38" s="71">
        <v>5.2</v>
      </c>
      <c r="AN38" s="288">
        <v>5.6</v>
      </c>
      <c r="AO38" s="288"/>
      <c r="AP38" s="299"/>
    </row>
    <row r="39" spans="1:42" ht="33" x14ac:dyDescent="0.25">
      <c r="A39" s="540"/>
      <c r="B39" s="510"/>
      <c r="C39" s="532"/>
      <c r="D39" s="210" t="s">
        <v>449</v>
      </c>
      <c r="E39" s="385" t="s">
        <v>335</v>
      </c>
      <c r="F39" s="287" t="s">
        <v>145</v>
      </c>
      <c r="G39" s="343"/>
      <c r="H39" s="314"/>
      <c r="I39" s="314" t="s">
        <v>371</v>
      </c>
      <c r="J39" s="314"/>
      <c r="K39" s="314"/>
      <c r="L39" s="314"/>
      <c r="M39" s="314"/>
      <c r="N39" s="314"/>
      <c r="O39" s="333"/>
      <c r="P39" s="312"/>
      <c r="Q39" s="314"/>
      <c r="R39" s="314"/>
      <c r="S39" s="314"/>
      <c r="T39" s="333"/>
      <c r="U39" s="312"/>
      <c r="V39" s="314" t="s">
        <v>371</v>
      </c>
      <c r="W39" s="314"/>
      <c r="X39" s="314"/>
      <c r="Y39" s="333"/>
      <c r="Z39" s="312"/>
      <c r="AA39" s="314"/>
      <c r="AB39" s="314"/>
      <c r="AC39" s="314"/>
      <c r="AD39" s="333"/>
      <c r="AE39" s="312"/>
      <c r="AF39" s="314"/>
      <c r="AG39" s="314"/>
      <c r="AH39" s="333"/>
      <c r="AI39" s="312"/>
      <c r="AJ39" s="314"/>
      <c r="AK39" s="334"/>
      <c r="AL39" s="209"/>
      <c r="AM39" s="71"/>
      <c r="AN39" s="288"/>
      <c r="AO39" s="288"/>
      <c r="AP39" s="299"/>
    </row>
    <row r="40" spans="1:42" x14ac:dyDescent="0.25">
      <c r="A40" s="540"/>
      <c r="B40" s="510"/>
      <c r="C40" s="532"/>
      <c r="D40" s="210" t="s">
        <v>450</v>
      </c>
      <c r="E40" s="385" t="s">
        <v>337</v>
      </c>
      <c r="F40" s="287" t="s">
        <v>147</v>
      </c>
      <c r="G40" s="343"/>
      <c r="H40" s="314"/>
      <c r="I40" s="314"/>
      <c r="J40" s="314"/>
      <c r="K40" s="314"/>
      <c r="L40" s="314"/>
      <c r="M40" s="314"/>
      <c r="N40" s="314"/>
      <c r="O40" s="333"/>
      <c r="P40" s="312"/>
      <c r="Q40" s="314"/>
      <c r="R40" s="314" t="s">
        <v>371</v>
      </c>
      <c r="S40" s="314"/>
      <c r="T40" s="333"/>
      <c r="U40" s="312"/>
      <c r="V40" s="314" t="s">
        <v>371</v>
      </c>
      <c r="W40" s="314" t="s">
        <v>371</v>
      </c>
      <c r="X40" s="314"/>
      <c r="Y40" s="333"/>
      <c r="Z40" s="312"/>
      <c r="AA40" s="314"/>
      <c r="AB40" s="314"/>
      <c r="AC40" s="314"/>
      <c r="AD40" s="333"/>
      <c r="AE40" s="312"/>
      <c r="AF40" s="314"/>
      <c r="AG40" s="314"/>
      <c r="AH40" s="333"/>
      <c r="AI40" s="312"/>
      <c r="AJ40" s="314"/>
      <c r="AK40" s="334"/>
      <c r="AL40" s="209"/>
      <c r="AM40" s="71"/>
      <c r="AN40" s="288"/>
      <c r="AO40" s="288"/>
      <c r="AP40" s="299"/>
    </row>
    <row r="41" spans="1:42" ht="33" x14ac:dyDescent="0.25">
      <c r="A41" s="540"/>
      <c r="B41" s="510"/>
      <c r="C41" s="532"/>
      <c r="D41" s="210" t="s">
        <v>451</v>
      </c>
      <c r="E41" s="385" t="s">
        <v>335</v>
      </c>
      <c r="F41" s="287" t="s">
        <v>147</v>
      </c>
      <c r="G41" s="353"/>
      <c r="H41" s="354"/>
      <c r="I41" s="354"/>
      <c r="J41" s="354"/>
      <c r="K41" s="354"/>
      <c r="L41" s="354"/>
      <c r="M41" s="354"/>
      <c r="N41" s="354"/>
      <c r="O41" s="356"/>
      <c r="P41" s="314" t="s">
        <v>371</v>
      </c>
      <c r="Q41" s="354"/>
      <c r="R41" s="354" t="s">
        <v>371</v>
      </c>
      <c r="S41" s="354"/>
      <c r="T41" s="356"/>
      <c r="U41" s="358"/>
      <c r="V41" s="314" t="s">
        <v>371</v>
      </c>
      <c r="W41" s="354"/>
      <c r="X41" s="354"/>
      <c r="Y41" s="356"/>
      <c r="Z41" s="358"/>
      <c r="AA41" s="354"/>
      <c r="AB41" s="354"/>
      <c r="AC41" s="354"/>
      <c r="AD41" s="356"/>
      <c r="AE41" s="358"/>
      <c r="AF41" s="354"/>
      <c r="AG41" s="354"/>
      <c r="AH41" s="356"/>
      <c r="AI41" s="358"/>
      <c r="AJ41" s="354"/>
      <c r="AK41" s="357"/>
      <c r="AL41" s="209"/>
      <c r="AM41" s="71"/>
      <c r="AN41" s="288"/>
      <c r="AO41" s="288"/>
      <c r="AP41" s="299"/>
    </row>
    <row r="42" spans="1:42" x14ac:dyDescent="0.25">
      <c r="A42" s="540"/>
      <c r="B42" s="510"/>
      <c r="C42" s="532"/>
      <c r="D42" s="210" t="s">
        <v>452</v>
      </c>
      <c r="E42" s="385" t="s">
        <v>335</v>
      </c>
      <c r="F42" s="287" t="s">
        <v>147</v>
      </c>
      <c r="G42" s="359"/>
      <c r="H42" s="360"/>
      <c r="I42" s="360"/>
      <c r="J42" s="360"/>
      <c r="K42" s="360"/>
      <c r="L42" s="360"/>
      <c r="M42" s="360"/>
      <c r="N42" s="360"/>
      <c r="O42" s="361"/>
      <c r="P42" s="359"/>
      <c r="Q42" s="360"/>
      <c r="R42" s="314" t="s">
        <v>371</v>
      </c>
      <c r="S42" s="360"/>
      <c r="T42" s="361"/>
      <c r="U42" s="359"/>
      <c r="V42" s="360"/>
      <c r="W42" s="360"/>
      <c r="X42" s="360"/>
      <c r="Y42" s="361"/>
      <c r="Z42" s="359"/>
      <c r="AA42" s="360"/>
      <c r="AB42" s="360"/>
      <c r="AC42" s="360"/>
      <c r="AD42" s="361"/>
      <c r="AE42" s="359"/>
      <c r="AF42" s="360"/>
      <c r="AG42" s="360"/>
      <c r="AH42" s="361"/>
      <c r="AI42" s="359"/>
      <c r="AJ42" s="360"/>
      <c r="AK42" s="362"/>
      <c r="AL42" s="210"/>
      <c r="AM42" s="71"/>
      <c r="AN42" s="288"/>
      <c r="AO42" s="288"/>
      <c r="AP42" s="299"/>
    </row>
    <row r="43" spans="1:42" ht="33" x14ac:dyDescent="0.25">
      <c r="A43" s="540"/>
      <c r="B43" s="510"/>
      <c r="C43" s="532"/>
      <c r="D43" s="210" t="s">
        <v>453</v>
      </c>
      <c r="E43" s="385" t="s">
        <v>335</v>
      </c>
      <c r="F43" s="308" t="s">
        <v>146</v>
      </c>
      <c r="G43" s="343"/>
      <c r="H43" s="324"/>
      <c r="I43" s="314"/>
      <c r="J43" s="314"/>
      <c r="K43" s="314"/>
      <c r="L43" s="314"/>
      <c r="M43" s="314"/>
      <c r="N43" s="314"/>
      <c r="O43" s="333"/>
      <c r="P43" s="314" t="s">
        <v>371</v>
      </c>
      <c r="Q43" s="314"/>
      <c r="R43" s="314" t="s">
        <v>371</v>
      </c>
      <c r="S43" s="314"/>
      <c r="T43" s="333"/>
      <c r="U43" s="312"/>
      <c r="V43" s="314" t="s">
        <v>371</v>
      </c>
      <c r="W43" s="314"/>
      <c r="X43" s="314"/>
      <c r="Y43" s="333"/>
      <c r="Z43" s="312"/>
      <c r="AA43" s="314"/>
      <c r="AB43" s="314"/>
      <c r="AC43" s="314"/>
      <c r="AD43" s="333"/>
      <c r="AE43" s="312"/>
      <c r="AF43" s="314"/>
      <c r="AG43" s="314"/>
      <c r="AH43" s="333"/>
      <c r="AI43" s="312"/>
      <c r="AJ43" s="314"/>
      <c r="AK43" s="334"/>
      <c r="AL43" s="209" t="s">
        <v>413</v>
      </c>
      <c r="AM43" s="71"/>
      <c r="AN43" s="288"/>
      <c r="AO43" s="288"/>
      <c r="AP43" s="299"/>
    </row>
    <row r="44" spans="1:42" ht="33" x14ac:dyDescent="0.25">
      <c r="A44" s="540"/>
      <c r="B44" s="510"/>
      <c r="C44" s="532"/>
      <c r="D44" s="210" t="s">
        <v>454</v>
      </c>
      <c r="E44" s="385" t="s">
        <v>335</v>
      </c>
      <c r="F44" s="308" t="s">
        <v>146</v>
      </c>
      <c r="G44" s="343"/>
      <c r="H44" s="314"/>
      <c r="I44" s="314"/>
      <c r="J44" s="314"/>
      <c r="K44" s="314"/>
      <c r="L44" s="314"/>
      <c r="M44" s="314"/>
      <c r="N44" s="314"/>
      <c r="O44" s="333"/>
      <c r="P44" s="314" t="s">
        <v>371</v>
      </c>
      <c r="Q44" s="314"/>
      <c r="R44" s="314" t="s">
        <v>371</v>
      </c>
      <c r="S44" s="314"/>
      <c r="T44" s="333"/>
      <c r="U44" s="312"/>
      <c r="V44" s="314" t="s">
        <v>371</v>
      </c>
      <c r="W44" s="314"/>
      <c r="X44" s="321"/>
      <c r="Y44" s="333"/>
      <c r="Z44" s="312"/>
      <c r="AA44" s="314"/>
      <c r="AB44" s="314"/>
      <c r="AC44" s="314"/>
      <c r="AD44" s="333"/>
      <c r="AE44" s="312"/>
      <c r="AF44" s="314"/>
      <c r="AG44" s="314"/>
      <c r="AH44" s="333"/>
      <c r="AI44" s="312"/>
      <c r="AJ44" s="314"/>
      <c r="AK44" s="334"/>
      <c r="AL44" s="209" t="s">
        <v>414</v>
      </c>
      <c r="AM44" s="71"/>
      <c r="AN44" s="288"/>
      <c r="AO44" s="288"/>
      <c r="AP44" s="299"/>
    </row>
    <row r="45" spans="1:42" x14ac:dyDescent="0.25">
      <c r="A45" s="540"/>
      <c r="B45" s="510"/>
      <c r="C45" s="532"/>
      <c r="D45" s="210" t="s">
        <v>455</v>
      </c>
      <c r="E45" s="385" t="s">
        <v>335</v>
      </c>
      <c r="F45" s="308" t="s">
        <v>146</v>
      </c>
      <c r="G45" s="343"/>
      <c r="H45" s="314"/>
      <c r="I45" s="314"/>
      <c r="J45" s="314"/>
      <c r="K45" s="314"/>
      <c r="L45" s="314"/>
      <c r="M45" s="314"/>
      <c r="N45" s="314"/>
      <c r="O45" s="333"/>
      <c r="P45" s="314" t="s">
        <v>371</v>
      </c>
      <c r="Q45" s="314"/>
      <c r="R45" s="314"/>
      <c r="S45" s="314"/>
      <c r="T45" s="333"/>
      <c r="U45" s="312"/>
      <c r="V45" s="314"/>
      <c r="W45" s="314"/>
      <c r="X45" s="314"/>
      <c r="Y45" s="333"/>
      <c r="Z45" s="312"/>
      <c r="AA45" s="314"/>
      <c r="AB45" s="314"/>
      <c r="AC45" s="314"/>
      <c r="AD45" s="333"/>
      <c r="AE45" s="312"/>
      <c r="AF45" s="314"/>
      <c r="AG45" s="314"/>
      <c r="AH45" s="333"/>
      <c r="AI45" s="312"/>
      <c r="AJ45" s="314"/>
      <c r="AK45" s="334"/>
      <c r="AL45" s="209"/>
      <c r="AM45" s="71">
        <v>5.5</v>
      </c>
      <c r="AN45" s="288"/>
      <c r="AO45" s="288"/>
      <c r="AP45" s="299"/>
    </row>
    <row r="46" spans="1:42" x14ac:dyDescent="0.25">
      <c r="A46" s="540"/>
      <c r="B46" s="510"/>
      <c r="C46" s="532"/>
      <c r="D46" s="210" t="s">
        <v>456</v>
      </c>
      <c r="E46" s="385" t="s">
        <v>335</v>
      </c>
      <c r="F46" s="308" t="s">
        <v>146</v>
      </c>
      <c r="G46" s="343"/>
      <c r="H46" s="314"/>
      <c r="I46" s="314"/>
      <c r="J46" s="314"/>
      <c r="K46" s="314"/>
      <c r="L46" s="314"/>
      <c r="M46" s="314"/>
      <c r="N46" s="314"/>
      <c r="O46" s="333"/>
      <c r="P46" s="314" t="s">
        <v>371</v>
      </c>
      <c r="Q46" s="314"/>
      <c r="R46" s="314"/>
      <c r="S46" s="314"/>
      <c r="T46" s="333"/>
      <c r="U46" s="312"/>
      <c r="V46" s="314" t="s">
        <v>371</v>
      </c>
      <c r="W46" s="314"/>
      <c r="X46" s="314"/>
      <c r="Y46" s="333"/>
      <c r="Z46" s="312"/>
      <c r="AA46" s="314"/>
      <c r="AB46" s="314"/>
      <c r="AC46" s="314"/>
      <c r="AD46" s="333"/>
      <c r="AE46" s="312"/>
      <c r="AF46" s="314"/>
      <c r="AG46" s="314"/>
      <c r="AH46" s="333"/>
      <c r="AI46" s="312"/>
      <c r="AJ46" s="314"/>
      <c r="AK46" s="334"/>
      <c r="AL46" s="209"/>
      <c r="AM46" s="71"/>
      <c r="AN46" s="288"/>
      <c r="AO46" s="288"/>
      <c r="AP46" s="299"/>
    </row>
    <row r="47" spans="1:42" ht="33" x14ac:dyDescent="0.25">
      <c r="A47" s="540"/>
      <c r="B47" s="510"/>
      <c r="C47" s="532"/>
      <c r="D47" s="210" t="s">
        <v>457</v>
      </c>
      <c r="E47" s="385" t="s">
        <v>335</v>
      </c>
      <c r="F47" s="308" t="s">
        <v>145</v>
      </c>
      <c r="G47" s="343"/>
      <c r="H47" s="314"/>
      <c r="I47" s="314" t="s">
        <v>371</v>
      </c>
      <c r="J47" s="314"/>
      <c r="K47" s="314" t="s">
        <v>371</v>
      </c>
      <c r="L47" s="314"/>
      <c r="M47" s="314"/>
      <c r="N47" s="314"/>
      <c r="O47" s="333"/>
      <c r="P47" s="314" t="s">
        <v>371</v>
      </c>
      <c r="Q47" s="314"/>
      <c r="R47" s="314"/>
      <c r="S47" s="314"/>
      <c r="T47" s="333"/>
      <c r="U47" s="312"/>
      <c r="V47" s="314" t="s">
        <v>371</v>
      </c>
      <c r="W47" s="314"/>
      <c r="X47" s="314"/>
      <c r="Y47" s="333"/>
      <c r="Z47" s="312"/>
      <c r="AA47" s="314"/>
      <c r="AB47" s="314"/>
      <c r="AC47" s="314"/>
      <c r="AD47" s="333"/>
      <c r="AE47" s="312"/>
      <c r="AF47" s="314"/>
      <c r="AG47" s="314"/>
      <c r="AH47" s="333"/>
      <c r="AI47" s="312"/>
      <c r="AJ47" s="314"/>
      <c r="AK47" s="334"/>
      <c r="AL47" s="209"/>
      <c r="AM47" s="71"/>
      <c r="AN47" s="288"/>
      <c r="AO47" s="288"/>
      <c r="AP47" s="299"/>
    </row>
    <row r="48" spans="1:42" ht="33" x14ac:dyDescent="0.25">
      <c r="A48" s="540"/>
      <c r="B48" s="510"/>
      <c r="C48" s="532"/>
      <c r="D48" s="210" t="s">
        <v>458</v>
      </c>
      <c r="E48" s="385" t="s">
        <v>334</v>
      </c>
      <c r="F48" s="308" t="s">
        <v>145</v>
      </c>
      <c r="G48" s="343"/>
      <c r="H48" s="314"/>
      <c r="I48" s="314" t="s">
        <v>371</v>
      </c>
      <c r="J48" s="314"/>
      <c r="K48" s="314" t="s">
        <v>371</v>
      </c>
      <c r="L48" s="314"/>
      <c r="M48" s="314"/>
      <c r="N48" s="314"/>
      <c r="O48" s="333"/>
      <c r="P48" s="314" t="s">
        <v>371</v>
      </c>
      <c r="Q48" s="314"/>
      <c r="R48" s="314"/>
      <c r="S48" s="314"/>
      <c r="T48" s="333"/>
      <c r="U48" s="312"/>
      <c r="V48" s="314" t="s">
        <v>371</v>
      </c>
      <c r="W48" s="314"/>
      <c r="X48" s="314"/>
      <c r="Y48" s="333"/>
      <c r="Z48" s="312"/>
      <c r="AA48" s="314"/>
      <c r="AB48" s="314"/>
      <c r="AC48" s="314"/>
      <c r="AD48" s="333"/>
      <c r="AE48" s="312"/>
      <c r="AF48" s="314"/>
      <c r="AG48" s="314"/>
      <c r="AH48" s="333"/>
      <c r="AI48" s="312"/>
      <c r="AJ48" s="314"/>
      <c r="AK48" s="334"/>
      <c r="AL48" s="209"/>
      <c r="AM48" s="71"/>
      <c r="AN48" s="288"/>
      <c r="AO48" s="288"/>
      <c r="AP48" s="299"/>
    </row>
    <row r="49" spans="1:42" x14ac:dyDescent="0.25">
      <c r="A49" s="540"/>
      <c r="B49" s="510"/>
      <c r="C49" s="532"/>
      <c r="D49" s="210" t="s">
        <v>459</v>
      </c>
      <c r="E49" s="385" t="s">
        <v>335</v>
      </c>
      <c r="F49" s="308" t="s">
        <v>145</v>
      </c>
      <c r="G49" s="343"/>
      <c r="H49" s="314"/>
      <c r="I49" s="314" t="s">
        <v>371</v>
      </c>
      <c r="J49" s="314"/>
      <c r="K49" s="314" t="s">
        <v>371</v>
      </c>
      <c r="L49" s="314"/>
      <c r="M49" s="314"/>
      <c r="N49" s="314"/>
      <c r="O49" s="333"/>
      <c r="P49" s="314" t="s">
        <v>371</v>
      </c>
      <c r="Q49" s="314"/>
      <c r="R49" s="314"/>
      <c r="S49" s="314"/>
      <c r="T49" s="333"/>
      <c r="U49" s="312"/>
      <c r="V49" s="314" t="s">
        <v>371</v>
      </c>
      <c r="W49" s="314"/>
      <c r="X49" s="314"/>
      <c r="Y49" s="333"/>
      <c r="Z49" s="312"/>
      <c r="AA49" s="314"/>
      <c r="AB49" s="314"/>
      <c r="AC49" s="314"/>
      <c r="AD49" s="333"/>
      <c r="AE49" s="312"/>
      <c r="AF49" s="314"/>
      <c r="AG49" s="314"/>
      <c r="AH49" s="333"/>
      <c r="AI49" s="312"/>
      <c r="AJ49" s="314"/>
      <c r="AK49" s="334"/>
      <c r="AL49" s="209"/>
      <c r="AM49" s="71"/>
      <c r="AN49" s="288"/>
      <c r="AO49" s="288"/>
      <c r="AP49" s="299"/>
    </row>
    <row r="50" spans="1:42" x14ac:dyDescent="0.25">
      <c r="A50" s="540"/>
      <c r="B50" s="510"/>
      <c r="C50" s="532"/>
      <c r="D50" s="210" t="s">
        <v>460</v>
      </c>
      <c r="E50" s="385" t="s">
        <v>335</v>
      </c>
      <c r="F50" s="308" t="s">
        <v>147</v>
      </c>
      <c r="G50" s="343"/>
      <c r="H50" s="314"/>
      <c r="I50" s="314"/>
      <c r="J50" s="314"/>
      <c r="K50" s="314"/>
      <c r="L50" s="314"/>
      <c r="M50" s="314"/>
      <c r="N50" s="314"/>
      <c r="O50" s="333"/>
      <c r="P50" s="314"/>
      <c r="Q50" s="314"/>
      <c r="R50" s="314" t="s">
        <v>371</v>
      </c>
      <c r="S50" s="314"/>
      <c r="T50" s="333"/>
      <c r="U50" s="314"/>
      <c r="V50" s="314"/>
      <c r="W50" s="314"/>
      <c r="X50" s="314"/>
      <c r="Y50" s="314"/>
      <c r="Z50" s="312"/>
      <c r="AA50" s="314"/>
      <c r="AB50" s="314"/>
      <c r="AC50" s="314"/>
      <c r="AD50" s="333"/>
      <c r="AE50" s="314"/>
      <c r="AF50" s="314"/>
      <c r="AG50" s="314"/>
      <c r="AH50" s="314"/>
      <c r="AI50" s="314"/>
      <c r="AJ50" s="314"/>
      <c r="AK50" s="334"/>
      <c r="AL50" s="209"/>
      <c r="AM50" s="71">
        <v>10.3</v>
      </c>
      <c r="AN50" s="288">
        <v>10.8</v>
      </c>
      <c r="AO50" s="288">
        <v>12.5</v>
      </c>
      <c r="AP50" s="299"/>
    </row>
    <row r="51" spans="1:42" ht="17.25" thickBot="1" x14ac:dyDescent="0.3">
      <c r="A51" s="540"/>
      <c r="B51" s="547"/>
      <c r="C51" s="533"/>
      <c r="D51" s="216" t="s">
        <v>461</v>
      </c>
      <c r="E51" s="386" t="s">
        <v>335</v>
      </c>
      <c r="F51" s="311" t="s">
        <v>147</v>
      </c>
      <c r="G51" s="365"/>
      <c r="H51" s="337"/>
      <c r="I51" s="337"/>
      <c r="J51" s="337"/>
      <c r="K51" s="337"/>
      <c r="L51" s="337"/>
      <c r="M51" s="337"/>
      <c r="N51" s="337"/>
      <c r="O51" s="366"/>
      <c r="P51" s="365"/>
      <c r="Q51" s="337"/>
      <c r="R51" s="338" t="s">
        <v>371</v>
      </c>
      <c r="S51" s="337"/>
      <c r="T51" s="366"/>
      <c r="U51" s="365"/>
      <c r="V51" s="337"/>
      <c r="W51" s="337"/>
      <c r="X51" s="337"/>
      <c r="Y51" s="366"/>
      <c r="Z51" s="365"/>
      <c r="AA51" s="337"/>
      <c r="AB51" s="337"/>
      <c r="AC51" s="337"/>
      <c r="AD51" s="366"/>
      <c r="AE51" s="365"/>
      <c r="AF51" s="337"/>
      <c r="AG51" s="337"/>
      <c r="AH51" s="366"/>
      <c r="AI51" s="365"/>
      <c r="AJ51" s="337"/>
      <c r="AK51" s="367"/>
      <c r="AL51" s="209"/>
      <c r="AM51" s="71"/>
      <c r="AN51" s="288"/>
      <c r="AO51" s="288"/>
      <c r="AP51" s="299"/>
    </row>
    <row r="52" spans="1:42" ht="33.75" thickTop="1" x14ac:dyDescent="0.25">
      <c r="A52" s="540"/>
      <c r="B52" s="509" t="str">
        <f>'Guideline Prioritization'!O16</f>
        <v>Slightly important</v>
      </c>
      <c r="C52" s="532" t="s">
        <v>318</v>
      </c>
      <c r="D52" s="214" t="s">
        <v>405</v>
      </c>
      <c r="E52" s="385" t="s">
        <v>335</v>
      </c>
      <c r="F52" s="308" t="s">
        <v>145</v>
      </c>
      <c r="G52" s="343"/>
      <c r="H52" s="314"/>
      <c r="I52" s="314"/>
      <c r="J52" s="314" t="s">
        <v>371</v>
      </c>
      <c r="K52" s="314" t="s">
        <v>371</v>
      </c>
      <c r="L52" s="314"/>
      <c r="M52" s="314"/>
      <c r="N52" s="314"/>
      <c r="O52" s="333"/>
      <c r="P52" s="312"/>
      <c r="Q52" s="314"/>
      <c r="R52" s="314"/>
      <c r="S52" s="314"/>
      <c r="T52" s="333"/>
      <c r="U52" s="312"/>
      <c r="V52" s="314"/>
      <c r="W52" s="314"/>
      <c r="X52" s="314"/>
      <c r="Y52" s="333"/>
      <c r="Z52" s="312"/>
      <c r="AA52" s="314"/>
      <c r="AB52" s="314"/>
      <c r="AC52" s="314"/>
      <c r="AD52" s="333"/>
      <c r="AE52" s="312"/>
      <c r="AF52" s="314"/>
      <c r="AG52" s="314"/>
      <c r="AH52" s="333"/>
      <c r="AI52" s="312"/>
      <c r="AJ52" s="314"/>
      <c r="AK52" s="334"/>
      <c r="AL52" s="209"/>
      <c r="AM52" s="71"/>
      <c r="AN52" s="288"/>
      <c r="AO52" s="288"/>
      <c r="AP52" s="299"/>
    </row>
    <row r="53" spans="1:42" x14ac:dyDescent="0.25">
      <c r="A53" s="540"/>
      <c r="B53" s="510"/>
      <c r="C53" s="532"/>
      <c r="D53" s="210" t="s">
        <v>406</v>
      </c>
      <c r="E53" s="385" t="s">
        <v>335</v>
      </c>
      <c r="F53" s="308" t="s">
        <v>146</v>
      </c>
      <c r="G53" s="343"/>
      <c r="H53" s="314"/>
      <c r="I53" s="314"/>
      <c r="J53" s="314" t="s">
        <v>371</v>
      </c>
      <c r="K53" s="314" t="s">
        <v>371</v>
      </c>
      <c r="L53" s="314" t="s">
        <v>371</v>
      </c>
      <c r="M53" s="314"/>
      <c r="N53" s="314"/>
      <c r="O53" s="333"/>
      <c r="P53" s="312"/>
      <c r="Q53" s="314"/>
      <c r="R53" s="314"/>
      <c r="S53" s="314"/>
      <c r="T53" s="333"/>
      <c r="U53" s="312"/>
      <c r="V53" s="314"/>
      <c r="W53" s="314"/>
      <c r="X53" s="314"/>
      <c r="Y53" s="333"/>
      <c r="Z53" s="312"/>
      <c r="AA53" s="314"/>
      <c r="AB53" s="314"/>
      <c r="AC53" s="314"/>
      <c r="AD53" s="333"/>
      <c r="AE53" s="312"/>
      <c r="AF53" s="314"/>
      <c r="AG53" s="314"/>
      <c r="AH53" s="333"/>
      <c r="AI53" s="312"/>
      <c r="AJ53" s="314"/>
      <c r="AK53" s="334"/>
      <c r="AL53" s="209"/>
      <c r="AM53" s="71">
        <v>4.7</v>
      </c>
      <c r="AN53" s="288">
        <v>4.9000000000000004</v>
      </c>
      <c r="AO53" s="288">
        <v>4.12</v>
      </c>
      <c r="AP53" s="299">
        <v>5.4</v>
      </c>
    </row>
    <row r="54" spans="1:42" ht="33" x14ac:dyDescent="0.25">
      <c r="A54" s="540"/>
      <c r="B54" s="510"/>
      <c r="C54" s="532"/>
      <c r="D54" s="210" t="s">
        <v>407</v>
      </c>
      <c r="E54" s="385" t="s">
        <v>335</v>
      </c>
      <c r="F54" s="287" t="s">
        <v>145</v>
      </c>
      <c r="G54" s="343"/>
      <c r="H54" s="314"/>
      <c r="I54" s="314"/>
      <c r="J54" s="314" t="s">
        <v>371</v>
      </c>
      <c r="K54" s="314" t="s">
        <v>371</v>
      </c>
      <c r="L54" s="314"/>
      <c r="M54" s="314"/>
      <c r="N54" s="314"/>
      <c r="O54" s="333"/>
      <c r="P54" s="312"/>
      <c r="Q54" s="314"/>
      <c r="R54" s="314"/>
      <c r="S54" s="314"/>
      <c r="T54" s="333"/>
      <c r="U54" s="312"/>
      <c r="V54" s="314"/>
      <c r="W54" s="314"/>
      <c r="X54" s="314"/>
      <c r="Y54" s="333"/>
      <c r="Z54" s="312"/>
      <c r="AA54" s="314"/>
      <c r="AB54" s="314"/>
      <c r="AC54" s="314"/>
      <c r="AD54" s="333"/>
      <c r="AE54" s="312"/>
      <c r="AF54" s="314"/>
      <c r="AG54" s="314"/>
      <c r="AH54" s="333"/>
      <c r="AI54" s="312"/>
      <c r="AJ54" s="314"/>
      <c r="AK54" s="334"/>
      <c r="AL54" s="209"/>
      <c r="AM54" s="71">
        <v>4.2300000000000004</v>
      </c>
      <c r="AN54" s="288"/>
      <c r="AO54" s="288"/>
      <c r="AP54" s="299"/>
    </row>
    <row r="55" spans="1:42" ht="33" x14ac:dyDescent="0.25">
      <c r="A55" s="540"/>
      <c r="B55" s="510"/>
      <c r="C55" s="532"/>
      <c r="D55" s="210" t="s">
        <v>408</v>
      </c>
      <c r="E55" s="385" t="s">
        <v>336</v>
      </c>
      <c r="F55" s="287" t="s">
        <v>145</v>
      </c>
      <c r="G55" s="343"/>
      <c r="H55" s="314"/>
      <c r="I55" s="314"/>
      <c r="J55" s="314"/>
      <c r="K55" s="314" t="s">
        <v>371</v>
      </c>
      <c r="L55" s="314" t="s">
        <v>371</v>
      </c>
      <c r="M55" s="314"/>
      <c r="N55" s="314"/>
      <c r="O55" s="333"/>
      <c r="P55" s="321"/>
      <c r="Q55" s="314"/>
      <c r="R55" s="314"/>
      <c r="S55" s="314"/>
      <c r="T55" s="314" t="s">
        <v>371</v>
      </c>
      <c r="U55" s="312"/>
      <c r="V55" s="314"/>
      <c r="W55" s="314"/>
      <c r="X55" s="314"/>
      <c r="Y55" s="333"/>
      <c r="Z55" s="312"/>
      <c r="AA55" s="314"/>
      <c r="AB55" s="314"/>
      <c r="AC55" s="314"/>
      <c r="AD55" s="333"/>
      <c r="AE55" s="312"/>
      <c r="AF55" s="314"/>
      <c r="AG55" s="314"/>
      <c r="AH55" s="333"/>
      <c r="AI55" s="312"/>
      <c r="AJ55" s="314"/>
      <c r="AK55" s="334"/>
      <c r="AL55" s="209"/>
      <c r="AM55" s="71">
        <v>5.2</v>
      </c>
      <c r="AN55" s="288">
        <v>5.6</v>
      </c>
      <c r="AO55" s="288"/>
      <c r="AP55" s="299"/>
    </row>
    <row r="56" spans="1:42" x14ac:dyDescent="0.25">
      <c r="A56" s="540"/>
      <c r="B56" s="510"/>
      <c r="C56" s="532"/>
      <c r="D56" s="210" t="s">
        <v>409</v>
      </c>
      <c r="E56" s="385" t="s">
        <v>335</v>
      </c>
      <c r="F56" s="308" t="s">
        <v>146</v>
      </c>
      <c r="G56" s="343"/>
      <c r="H56" s="314"/>
      <c r="I56" s="314"/>
      <c r="J56" s="314"/>
      <c r="K56" s="314" t="s">
        <v>371</v>
      </c>
      <c r="L56" s="314" t="s">
        <v>371</v>
      </c>
      <c r="M56" s="314"/>
      <c r="N56" s="314"/>
      <c r="O56" s="333"/>
      <c r="P56" s="312"/>
      <c r="Q56" s="314"/>
      <c r="R56" s="314"/>
      <c r="S56" s="314"/>
      <c r="T56" s="333"/>
      <c r="U56" s="312"/>
      <c r="V56" s="314"/>
      <c r="W56" s="314"/>
      <c r="X56" s="314"/>
      <c r="Y56" s="333"/>
      <c r="Z56" s="312"/>
      <c r="AA56" s="314"/>
      <c r="AB56" s="314"/>
      <c r="AC56" s="314"/>
      <c r="AD56" s="333"/>
      <c r="AE56" s="312"/>
      <c r="AF56" s="314"/>
      <c r="AG56" s="314"/>
      <c r="AH56" s="333"/>
      <c r="AI56" s="312"/>
      <c r="AJ56" s="314"/>
      <c r="AK56" s="334"/>
      <c r="AL56" s="209"/>
      <c r="AM56" s="71"/>
      <c r="AN56" s="288"/>
      <c r="AO56" s="288"/>
      <c r="AP56" s="299"/>
    </row>
    <row r="57" spans="1:42" ht="17.25" thickBot="1" x14ac:dyDescent="0.3">
      <c r="A57" s="540"/>
      <c r="B57" s="510"/>
      <c r="C57" s="546"/>
      <c r="D57" s="283" t="s">
        <v>410</v>
      </c>
      <c r="E57" s="388" t="s">
        <v>335</v>
      </c>
      <c r="F57" s="289" t="s">
        <v>146</v>
      </c>
      <c r="G57" s="368"/>
      <c r="H57" s="369"/>
      <c r="I57" s="369"/>
      <c r="J57" s="338" t="s">
        <v>371</v>
      </c>
      <c r="K57" s="369"/>
      <c r="L57" s="338" t="s">
        <v>371</v>
      </c>
      <c r="M57" s="369"/>
      <c r="N57" s="369"/>
      <c r="O57" s="370"/>
      <c r="P57" s="371"/>
      <c r="Q57" s="369"/>
      <c r="R57" s="369"/>
      <c r="S57" s="369"/>
      <c r="T57" s="370"/>
      <c r="U57" s="371"/>
      <c r="V57" s="369"/>
      <c r="W57" s="369"/>
      <c r="X57" s="369"/>
      <c r="Y57" s="370"/>
      <c r="Z57" s="371"/>
      <c r="AA57" s="369"/>
      <c r="AB57" s="369"/>
      <c r="AC57" s="369"/>
      <c r="AD57" s="370"/>
      <c r="AE57" s="371"/>
      <c r="AF57" s="369"/>
      <c r="AG57" s="369"/>
      <c r="AH57" s="370"/>
      <c r="AI57" s="371"/>
      <c r="AJ57" s="369"/>
      <c r="AK57" s="372"/>
      <c r="AL57" s="209"/>
      <c r="AM57" s="71">
        <v>4.7</v>
      </c>
      <c r="AN57" s="288">
        <v>4.9000000000000004</v>
      </c>
      <c r="AO57" s="288">
        <v>4.12</v>
      </c>
      <c r="AP57" s="299">
        <v>5.4</v>
      </c>
    </row>
    <row r="58" spans="1:42" ht="14.45" customHeight="1" thickTop="1" x14ac:dyDescent="0.25">
      <c r="A58" s="540"/>
      <c r="B58" s="509" t="str">
        <f>'Guideline Prioritization'!O17</f>
        <v>Moderately Important</v>
      </c>
      <c r="C58" s="532" t="s">
        <v>319</v>
      </c>
      <c r="D58" s="286" t="s">
        <v>422</v>
      </c>
      <c r="E58" s="385" t="s">
        <v>335</v>
      </c>
      <c r="F58" s="310" t="s">
        <v>147</v>
      </c>
      <c r="G58" s="314" t="s">
        <v>371</v>
      </c>
      <c r="H58" s="314"/>
      <c r="I58" s="314"/>
      <c r="J58" s="314" t="s">
        <v>371</v>
      </c>
      <c r="K58" s="314"/>
      <c r="L58" s="314" t="s">
        <v>371</v>
      </c>
      <c r="M58" s="314" t="s">
        <v>371</v>
      </c>
      <c r="N58" s="314" t="s">
        <v>371</v>
      </c>
      <c r="O58" s="333"/>
      <c r="P58" s="312"/>
      <c r="Q58" s="314"/>
      <c r="R58" s="314" t="s">
        <v>371</v>
      </c>
      <c r="S58" s="314"/>
      <c r="T58" s="314" t="s">
        <v>371</v>
      </c>
      <c r="U58" s="312"/>
      <c r="V58" s="314"/>
      <c r="W58" s="314"/>
      <c r="X58" s="314"/>
      <c r="Y58" s="333"/>
      <c r="Z58" s="312"/>
      <c r="AA58" s="314"/>
      <c r="AB58" s="314"/>
      <c r="AC58" s="314"/>
      <c r="AD58" s="333"/>
      <c r="AE58" s="312"/>
      <c r="AF58" s="314"/>
      <c r="AG58" s="314"/>
      <c r="AH58" s="333"/>
      <c r="AI58" s="312"/>
      <c r="AJ58" s="314"/>
      <c r="AK58" s="334"/>
      <c r="AL58" s="209"/>
      <c r="AM58" s="71"/>
      <c r="AN58" s="288"/>
      <c r="AO58" s="288"/>
      <c r="AP58" s="299"/>
    </row>
    <row r="59" spans="1:42" x14ac:dyDescent="0.25">
      <c r="A59" s="540"/>
      <c r="B59" s="510"/>
      <c r="C59" s="532"/>
      <c r="D59" s="286" t="s">
        <v>423</v>
      </c>
      <c r="E59" s="385" t="s">
        <v>335</v>
      </c>
      <c r="F59" s="310" t="s">
        <v>146</v>
      </c>
      <c r="G59" s="343"/>
      <c r="H59" s="314"/>
      <c r="I59" s="314" t="s">
        <v>371</v>
      </c>
      <c r="J59" s="314"/>
      <c r="K59" s="314"/>
      <c r="L59" s="314"/>
      <c r="M59" s="314"/>
      <c r="N59" s="314"/>
      <c r="O59" s="333"/>
      <c r="P59" s="314" t="s">
        <v>371</v>
      </c>
      <c r="Q59" s="314"/>
      <c r="R59" s="314" t="s">
        <v>371</v>
      </c>
      <c r="S59" s="314" t="s">
        <v>371</v>
      </c>
      <c r="T59" s="333"/>
      <c r="U59" s="312"/>
      <c r="V59" s="314"/>
      <c r="W59" s="314"/>
      <c r="X59" s="314"/>
      <c r="Y59" s="333"/>
      <c r="Z59" s="312"/>
      <c r="AA59" s="314"/>
      <c r="AB59" s="314"/>
      <c r="AC59" s="314"/>
      <c r="AD59" s="333"/>
      <c r="AE59" s="312"/>
      <c r="AF59" s="314"/>
      <c r="AG59" s="314"/>
      <c r="AH59" s="333"/>
      <c r="AI59" s="312"/>
      <c r="AJ59" s="314"/>
      <c r="AK59" s="334"/>
      <c r="AL59" s="209"/>
      <c r="AM59" s="71"/>
      <c r="AN59" s="288"/>
      <c r="AO59" s="288"/>
      <c r="AP59" s="299"/>
    </row>
    <row r="60" spans="1:42" x14ac:dyDescent="0.25">
      <c r="A60" s="540"/>
      <c r="B60" s="510"/>
      <c r="C60" s="532"/>
      <c r="D60" s="286" t="s">
        <v>424</v>
      </c>
      <c r="E60" s="385" t="s">
        <v>335</v>
      </c>
      <c r="F60" s="310" t="s">
        <v>146</v>
      </c>
      <c r="G60" s="343"/>
      <c r="H60" s="314"/>
      <c r="I60" s="314"/>
      <c r="J60" s="314"/>
      <c r="K60" s="314"/>
      <c r="L60" s="314"/>
      <c r="M60" s="314"/>
      <c r="N60" s="314"/>
      <c r="O60" s="333"/>
      <c r="P60" s="314" t="s">
        <v>371</v>
      </c>
      <c r="Q60" s="314"/>
      <c r="R60" s="314" t="s">
        <v>371</v>
      </c>
      <c r="S60" s="314" t="s">
        <v>371</v>
      </c>
      <c r="T60" s="314" t="s">
        <v>371</v>
      </c>
      <c r="U60" s="312"/>
      <c r="V60" s="314"/>
      <c r="W60" s="314"/>
      <c r="X60" s="314"/>
      <c r="Y60" s="333"/>
      <c r="Z60" s="312"/>
      <c r="AA60" s="314"/>
      <c r="AB60" s="314"/>
      <c r="AC60" s="314"/>
      <c r="AD60" s="333"/>
      <c r="AE60" s="312"/>
      <c r="AF60" s="314"/>
      <c r="AG60" s="314"/>
      <c r="AH60" s="333"/>
      <c r="AI60" s="312"/>
      <c r="AJ60" s="314"/>
      <c r="AK60" s="334"/>
      <c r="AL60" s="209"/>
      <c r="AM60" s="71"/>
      <c r="AN60" s="288"/>
      <c r="AO60" s="288"/>
      <c r="AP60" s="299"/>
    </row>
    <row r="61" spans="1:42" ht="15.6" customHeight="1" x14ac:dyDescent="0.25">
      <c r="A61" s="540"/>
      <c r="B61" s="510"/>
      <c r="C61" s="532"/>
      <c r="D61" s="286" t="s">
        <v>425</v>
      </c>
      <c r="E61" s="385" t="s">
        <v>335</v>
      </c>
      <c r="F61" s="310" t="s">
        <v>146</v>
      </c>
      <c r="G61" s="314" t="s">
        <v>371</v>
      </c>
      <c r="H61" s="314"/>
      <c r="I61" s="314"/>
      <c r="J61" s="314" t="s">
        <v>371</v>
      </c>
      <c r="K61" s="314"/>
      <c r="L61" s="314" t="s">
        <v>371</v>
      </c>
      <c r="M61" s="314"/>
      <c r="N61" s="314" t="s">
        <v>371</v>
      </c>
      <c r="O61" s="333"/>
      <c r="P61" s="314" t="s">
        <v>371</v>
      </c>
      <c r="Q61" s="314"/>
      <c r="R61" s="314" t="s">
        <v>371</v>
      </c>
      <c r="S61" s="314" t="s">
        <v>371</v>
      </c>
      <c r="T61" s="314" t="s">
        <v>371</v>
      </c>
      <c r="U61" s="312"/>
      <c r="V61" s="314"/>
      <c r="W61" s="314"/>
      <c r="X61" s="314"/>
      <c r="Y61" s="333"/>
      <c r="Z61" s="312"/>
      <c r="AA61" s="314"/>
      <c r="AB61" s="314"/>
      <c r="AC61" s="314"/>
      <c r="AD61" s="333"/>
      <c r="AE61" s="312"/>
      <c r="AF61" s="314"/>
      <c r="AG61" s="314"/>
      <c r="AH61" s="333"/>
      <c r="AI61" s="312"/>
      <c r="AJ61" s="314"/>
      <c r="AK61" s="334"/>
      <c r="AL61" s="209"/>
      <c r="AM61" s="71"/>
      <c r="AN61" s="288"/>
      <c r="AO61" s="288"/>
      <c r="AP61" s="299"/>
    </row>
    <row r="62" spans="1:42" x14ac:dyDescent="0.25">
      <c r="A62" s="540"/>
      <c r="B62" s="510"/>
      <c r="C62" s="532"/>
      <c r="D62" s="286" t="s">
        <v>426</v>
      </c>
      <c r="E62" s="385" t="s">
        <v>335</v>
      </c>
      <c r="F62" s="308" t="s">
        <v>145</v>
      </c>
      <c r="G62" s="343"/>
      <c r="H62" s="314"/>
      <c r="I62" s="314"/>
      <c r="J62" s="314"/>
      <c r="K62" s="314"/>
      <c r="L62" s="314" t="s">
        <v>371</v>
      </c>
      <c r="M62" s="314"/>
      <c r="N62" s="314"/>
      <c r="O62" s="333"/>
      <c r="P62" s="314" t="s">
        <v>371</v>
      </c>
      <c r="Q62" s="314"/>
      <c r="R62" s="314" t="s">
        <v>371</v>
      </c>
      <c r="S62" s="314" t="s">
        <v>371</v>
      </c>
      <c r="T62" s="333"/>
      <c r="U62" s="312"/>
      <c r="V62" s="314"/>
      <c r="W62" s="314"/>
      <c r="X62" s="314"/>
      <c r="Y62" s="333"/>
      <c r="Z62" s="312"/>
      <c r="AA62" s="314"/>
      <c r="AB62" s="314"/>
      <c r="AC62" s="314"/>
      <c r="AD62" s="333"/>
      <c r="AE62" s="312"/>
      <c r="AF62" s="314"/>
      <c r="AG62" s="314"/>
      <c r="AH62" s="333"/>
      <c r="AI62" s="312"/>
      <c r="AJ62" s="314"/>
      <c r="AK62" s="334"/>
      <c r="AL62" s="209"/>
      <c r="AM62" s="71"/>
      <c r="AN62" s="288"/>
      <c r="AO62" s="288"/>
      <c r="AP62" s="299"/>
    </row>
    <row r="63" spans="1:42" ht="16.5" customHeight="1" x14ac:dyDescent="0.25">
      <c r="A63" s="540"/>
      <c r="B63" s="510"/>
      <c r="C63" s="532"/>
      <c r="D63" s="286" t="s">
        <v>427</v>
      </c>
      <c r="E63" s="385" t="s">
        <v>337</v>
      </c>
      <c r="F63" s="308" t="s">
        <v>145</v>
      </c>
      <c r="G63" s="343"/>
      <c r="H63" s="314"/>
      <c r="I63" s="314"/>
      <c r="J63" s="314" t="s">
        <v>371</v>
      </c>
      <c r="K63" s="314"/>
      <c r="L63" s="314" t="s">
        <v>371</v>
      </c>
      <c r="M63" s="314"/>
      <c r="N63" s="314" t="s">
        <v>371</v>
      </c>
      <c r="O63" s="333"/>
      <c r="P63" s="314" t="s">
        <v>371</v>
      </c>
      <c r="Q63" s="314"/>
      <c r="R63" s="314" t="s">
        <v>371</v>
      </c>
      <c r="S63" s="314" t="s">
        <v>371</v>
      </c>
      <c r="T63" s="333"/>
      <c r="U63" s="312"/>
      <c r="V63" s="314"/>
      <c r="W63" s="314"/>
      <c r="X63" s="314"/>
      <c r="Y63" s="333"/>
      <c r="Z63" s="312"/>
      <c r="AA63" s="314"/>
      <c r="AB63" s="314"/>
      <c r="AC63" s="314"/>
      <c r="AD63" s="333"/>
      <c r="AE63" s="312"/>
      <c r="AF63" s="314"/>
      <c r="AG63" s="314"/>
      <c r="AH63" s="333"/>
      <c r="AI63" s="312"/>
      <c r="AJ63" s="314"/>
      <c r="AK63" s="334"/>
      <c r="AL63" s="209"/>
      <c r="AM63" s="71"/>
      <c r="AN63" s="288"/>
      <c r="AO63" s="288"/>
      <c r="AP63" s="299"/>
    </row>
    <row r="64" spans="1:42" x14ac:dyDescent="0.25">
      <c r="A64" s="540"/>
      <c r="B64" s="510"/>
      <c r="C64" s="532"/>
      <c r="D64" s="286" t="s">
        <v>428</v>
      </c>
      <c r="E64" s="385" t="s">
        <v>336</v>
      </c>
      <c r="F64" s="308" t="s">
        <v>145</v>
      </c>
      <c r="G64" s="343"/>
      <c r="H64" s="314"/>
      <c r="I64" s="314"/>
      <c r="J64" s="314" t="s">
        <v>371</v>
      </c>
      <c r="K64" s="314"/>
      <c r="L64" s="314" t="s">
        <v>371</v>
      </c>
      <c r="M64" s="314"/>
      <c r="N64" s="314" t="s">
        <v>371</v>
      </c>
      <c r="O64" s="333"/>
      <c r="P64" s="314" t="s">
        <v>371</v>
      </c>
      <c r="Q64" s="314"/>
      <c r="R64" s="314" t="s">
        <v>371</v>
      </c>
      <c r="S64" s="314" t="s">
        <v>371</v>
      </c>
      <c r="T64" s="333"/>
      <c r="U64" s="312"/>
      <c r="V64" s="314"/>
      <c r="W64" s="314"/>
      <c r="X64" s="314"/>
      <c r="Y64" s="333"/>
      <c r="Z64" s="312"/>
      <c r="AA64" s="314"/>
      <c r="AB64" s="314"/>
      <c r="AC64" s="314"/>
      <c r="AD64" s="333"/>
      <c r="AE64" s="312"/>
      <c r="AF64" s="314"/>
      <c r="AG64" s="314"/>
      <c r="AH64" s="333"/>
      <c r="AI64" s="312"/>
      <c r="AJ64" s="314"/>
      <c r="AK64" s="334"/>
      <c r="AL64" s="209"/>
      <c r="AM64" s="71"/>
      <c r="AN64" s="288"/>
      <c r="AO64" s="288"/>
      <c r="AP64" s="299"/>
    </row>
    <row r="65" spans="1:42" x14ac:dyDescent="0.25">
      <c r="A65" s="540"/>
      <c r="B65" s="510"/>
      <c r="C65" s="532"/>
      <c r="D65" s="286" t="s">
        <v>429</v>
      </c>
      <c r="E65" s="385" t="s">
        <v>335</v>
      </c>
      <c r="F65" s="308" t="s">
        <v>145</v>
      </c>
      <c r="G65" s="343"/>
      <c r="H65" s="314"/>
      <c r="I65" s="314"/>
      <c r="J65" s="314"/>
      <c r="K65" s="314"/>
      <c r="L65" s="314"/>
      <c r="M65" s="314"/>
      <c r="N65" s="314"/>
      <c r="O65" s="333"/>
      <c r="P65" s="314" t="s">
        <v>371</v>
      </c>
      <c r="Q65" s="314"/>
      <c r="R65" s="314" t="s">
        <v>371</v>
      </c>
      <c r="S65" s="314" t="s">
        <v>371</v>
      </c>
      <c r="T65" s="333"/>
      <c r="U65" s="312"/>
      <c r="V65" s="314"/>
      <c r="W65" s="314"/>
      <c r="X65" s="314"/>
      <c r="Y65" s="333"/>
      <c r="Z65" s="312"/>
      <c r="AA65" s="314"/>
      <c r="AB65" s="314"/>
      <c r="AC65" s="314"/>
      <c r="AD65" s="333"/>
      <c r="AE65" s="312"/>
      <c r="AF65" s="314"/>
      <c r="AG65" s="314"/>
      <c r="AH65" s="333"/>
      <c r="AI65" s="312"/>
      <c r="AJ65" s="314"/>
      <c r="AK65" s="334"/>
      <c r="AL65" s="209"/>
      <c r="AM65" s="71"/>
      <c r="AN65" s="288"/>
      <c r="AO65" s="288"/>
      <c r="AP65" s="299"/>
    </row>
    <row r="66" spans="1:42" x14ac:dyDescent="0.25">
      <c r="A66" s="540"/>
      <c r="B66" s="510"/>
      <c r="C66" s="532"/>
      <c r="D66" s="286" t="s">
        <v>430</v>
      </c>
      <c r="E66" s="385" t="s">
        <v>335</v>
      </c>
      <c r="F66" s="310" t="s">
        <v>146</v>
      </c>
      <c r="G66" s="343"/>
      <c r="H66" s="314"/>
      <c r="I66" s="314"/>
      <c r="J66" s="314" t="s">
        <v>371</v>
      </c>
      <c r="K66" s="314"/>
      <c r="L66" s="314" t="s">
        <v>371</v>
      </c>
      <c r="M66" s="314"/>
      <c r="N66" s="314" t="s">
        <v>371</v>
      </c>
      <c r="O66" s="333"/>
      <c r="P66" s="312"/>
      <c r="Q66" s="314"/>
      <c r="R66" s="314" t="s">
        <v>371</v>
      </c>
      <c r="S66" s="314"/>
      <c r="T66" s="333"/>
      <c r="U66" s="312"/>
      <c r="V66" s="314"/>
      <c r="W66" s="314"/>
      <c r="X66" s="314"/>
      <c r="Y66" s="333"/>
      <c r="Z66" s="312"/>
      <c r="AA66" s="314"/>
      <c r="AB66" s="314"/>
      <c r="AC66" s="314"/>
      <c r="AD66" s="333"/>
      <c r="AE66" s="312"/>
      <c r="AF66" s="314"/>
      <c r="AG66" s="314"/>
      <c r="AH66" s="333"/>
      <c r="AI66" s="312"/>
      <c r="AJ66" s="314"/>
      <c r="AK66" s="334"/>
      <c r="AL66" s="209"/>
      <c r="AM66" s="71"/>
      <c r="AN66" s="288"/>
      <c r="AO66" s="288"/>
      <c r="AP66" s="299"/>
    </row>
    <row r="67" spans="1:42" ht="33.75" thickBot="1" x14ac:dyDescent="0.3">
      <c r="A67" s="540"/>
      <c r="B67" s="511"/>
      <c r="C67" s="533"/>
      <c r="D67" s="289" t="s">
        <v>431</v>
      </c>
      <c r="E67" s="386" t="s">
        <v>335</v>
      </c>
      <c r="F67" s="311" t="s">
        <v>146</v>
      </c>
      <c r="G67" s="335"/>
      <c r="H67" s="337"/>
      <c r="I67" s="337"/>
      <c r="J67" s="337"/>
      <c r="K67" s="337"/>
      <c r="L67" s="337"/>
      <c r="M67" s="337"/>
      <c r="N67" s="337"/>
      <c r="O67" s="366"/>
      <c r="P67" s="314" t="s">
        <v>371</v>
      </c>
      <c r="Q67" s="337"/>
      <c r="R67" s="314" t="s">
        <v>371</v>
      </c>
      <c r="S67" s="314" t="s">
        <v>371</v>
      </c>
      <c r="T67" s="314" t="s">
        <v>371</v>
      </c>
      <c r="U67" s="365"/>
      <c r="V67" s="337"/>
      <c r="W67" s="336"/>
      <c r="X67" s="337"/>
      <c r="Y67" s="366"/>
      <c r="Z67" s="365"/>
      <c r="AA67" s="337"/>
      <c r="AB67" s="337"/>
      <c r="AC67" s="337"/>
      <c r="AD67" s="366"/>
      <c r="AE67" s="365"/>
      <c r="AF67" s="337"/>
      <c r="AG67" s="337"/>
      <c r="AH67" s="366"/>
      <c r="AI67" s="365"/>
      <c r="AJ67" s="337"/>
      <c r="AK67" s="367"/>
      <c r="AL67" s="209"/>
      <c r="AM67" s="71"/>
      <c r="AN67" s="288"/>
      <c r="AO67" s="288"/>
      <c r="AP67" s="299"/>
    </row>
    <row r="68" spans="1:42" ht="17.25" thickTop="1" x14ac:dyDescent="0.25">
      <c r="A68" s="536" t="s">
        <v>322</v>
      </c>
      <c r="B68" s="510" t="str">
        <f>'Guideline Prioritization'!O20</f>
        <v>Slightly important</v>
      </c>
      <c r="C68" s="529" t="s">
        <v>323</v>
      </c>
      <c r="D68" s="290" t="s">
        <v>463</v>
      </c>
      <c r="E68" s="387" t="s">
        <v>335</v>
      </c>
      <c r="F68" s="310" t="s">
        <v>146</v>
      </c>
      <c r="G68" s="344"/>
      <c r="H68" s="345"/>
      <c r="I68" s="345"/>
      <c r="J68" s="345"/>
      <c r="K68" s="345"/>
      <c r="L68" s="345"/>
      <c r="M68" s="345"/>
      <c r="N68" s="345"/>
      <c r="O68" s="346"/>
      <c r="P68" s="347"/>
      <c r="Q68" s="345"/>
      <c r="R68" s="345"/>
      <c r="S68" s="345"/>
      <c r="T68" s="346"/>
      <c r="U68" s="347"/>
      <c r="V68" s="345"/>
      <c r="W68" s="345"/>
      <c r="X68" s="345"/>
      <c r="Y68" s="346"/>
      <c r="Z68" s="314" t="s">
        <v>371</v>
      </c>
      <c r="AA68" s="345"/>
      <c r="AB68" s="345"/>
      <c r="AC68" s="345"/>
      <c r="AD68" s="346"/>
      <c r="AE68" s="347"/>
      <c r="AF68" s="314" t="s">
        <v>371</v>
      </c>
      <c r="AG68" s="345"/>
      <c r="AH68" s="346"/>
      <c r="AI68" s="347"/>
      <c r="AJ68" s="314" t="s">
        <v>371</v>
      </c>
      <c r="AK68" s="348"/>
      <c r="AL68" s="209"/>
      <c r="AM68" s="71"/>
      <c r="AN68" s="288"/>
      <c r="AO68" s="288"/>
      <c r="AP68" s="299"/>
    </row>
    <row r="69" spans="1:42" ht="33" x14ac:dyDescent="0.25">
      <c r="A69" s="537"/>
      <c r="B69" s="510"/>
      <c r="C69" s="530"/>
      <c r="D69" s="286" t="s">
        <v>464</v>
      </c>
      <c r="E69" s="385" t="s">
        <v>335</v>
      </c>
      <c r="F69" s="287" t="s">
        <v>145</v>
      </c>
      <c r="G69" s="343"/>
      <c r="H69" s="314"/>
      <c r="I69" s="314"/>
      <c r="J69" s="314"/>
      <c r="K69" s="314"/>
      <c r="L69" s="314"/>
      <c r="M69" s="314"/>
      <c r="N69" s="314"/>
      <c r="O69" s="333"/>
      <c r="P69" s="312"/>
      <c r="Q69" s="314"/>
      <c r="R69" s="314"/>
      <c r="S69" s="314"/>
      <c r="T69" s="333"/>
      <c r="U69" s="312"/>
      <c r="V69" s="314"/>
      <c r="W69" s="314"/>
      <c r="X69" s="314"/>
      <c r="Y69" s="314" t="s">
        <v>371</v>
      </c>
      <c r="Z69" s="312"/>
      <c r="AA69" s="314"/>
      <c r="AB69" s="314"/>
      <c r="AC69" s="314"/>
      <c r="AD69" s="333"/>
      <c r="AE69" s="314" t="s">
        <v>371</v>
      </c>
      <c r="AF69" s="314" t="s">
        <v>371</v>
      </c>
      <c r="AG69" s="314" t="s">
        <v>371</v>
      </c>
      <c r="AH69" s="333"/>
      <c r="AI69" s="312"/>
      <c r="AJ69" s="314" t="s">
        <v>371</v>
      </c>
      <c r="AK69" s="334"/>
      <c r="AL69" s="209"/>
      <c r="AM69" s="71"/>
      <c r="AN69" s="288"/>
      <c r="AO69" s="288"/>
      <c r="AP69" s="299"/>
    </row>
    <row r="70" spans="1:42" x14ac:dyDescent="0.25">
      <c r="A70" s="537"/>
      <c r="B70" s="510"/>
      <c r="C70" s="530"/>
      <c r="D70" s="286" t="s">
        <v>465</v>
      </c>
      <c r="E70" s="385" t="s">
        <v>335</v>
      </c>
      <c r="F70" s="310" t="s">
        <v>147</v>
      </c>
      <c r="G70" s="343"/>
      <c r="H70" s="314"/>
      <c r="I70" s="314"/>
      <c r="J70" s="314"/>
      <c r="K70" s="314"/>
      <c r="L70" s="314"/>
      <c r="M70" s="314"/>
      <c r="N70" s="314"/>
      <c r="O70" s="333"/>
      <c r="P70" s="312"/>
      <c r="Q70" s="314"/>
      <c r="R70" s="314"/>
      <c r="S70" s="314"/>
      <c r="T70" s="333"/>
      <c r="U70" s="312"/>
      <c r="V70" s="314"/>
      <c r="W70" s="314"/>
      <c r="X70" s="314"/>
      <c r="Y70" s="314" t="s">
        <v>371</v>
      </c>
      <c r="Z70" s="312" t="s">
        <v>371</v>
      </c>
      <c r="AA70" s="314"/>
      <c r="AB70" s="314"/>
      <c r="AC70" s="314"/>
      <c r="AD70" s="333"/>
      <c r="AE70" s="314" t="s">
        <v>371</v>
      </c>
      <c r="AF70" s="314" t="s">
        <v>371</v>
      </c>
      <c r="AG70" s="314"/>
      <c r="AH70" s="333"/>
      <c r="AI70" s="312"/>
      <c r="AJ70" s="314"/>
      <c r="AK70" s="334"/>
      <c r="AL70" s="209" t="s">
        <v>435</v>
      </c>
      <c r="AM70" s="71"/>
      <c r="AN70" s="288"/>
      <c r="AO70" s="288"/>
      <c r="AP70" s="299"/>
    </row>
    <row r="71" spans="1:42" x14ac:dyDescent="0.25">
      <c r="A71" s="537"/>
      <c r="B71" s="510"/>
      <c r="C71" s="530"/>
      <c r="D71" s="286" t="s">
        <v>466</v>
      </c>
      <c r="E71" s="385" t="s">
        <v>336</v>
      </c>
      <c r="F71" s="287" t="s">
        <v>145</v>
      </c>
      <c r="G71" s="320"/>
      <c r="H71" s="322"/>
      <c r="I71" s="322"/>
      <c r="J71" s="322"/>
      <c r="K71" s="322"/>
      <c r="L71" s="322"/>
      <c r="M71" s="322"/>
      <c r="N71" s="322"/>
      <c r="O71" s="333"/>
      <c r="P71" s="312"/>
      <c r="Q71" s="314"/>
      <c r="R71" s="314"/>
      <c r="S71" s="314"/>
      <c r="T71" s="333"/>
      <c r="U71" s="312"/>
      <c r="V71" s="314" t="s">
        <v>371</v>
      </c>
      <c r="W71" s="314"/>
      <c r="X71" s="314"/>
      <c r="Y71" s="314"/>
      <c r="Z71" s="312" t="s">
        <v>371</v>
      </c>
      <c r="AA71" s="314" t="s">
        <v>371</v>
      </c>
      <c r="AB71" s="314"/>
      <c r="AC71" s="314"/>
      <c r="AD71" s="333"/>
      <c r="AE71" s="314" t="s">
        <v>371</v>
      </c>
      <c r="AF71" s="322"/>
      <c r="AG71" s="322"/>
      <c r="AH71" s="333"/>
      <c r="AI71" s="322"/>
      <c r="AJ71" s="322"/>
      <c r="AK71" s="334"/>
      <c r="AL71" s="209"/>
      <c r="AM71" s="71"/>
      <c r="AN71" s="288"/>
      <c r="AO71" s="288"/>
      <c r="AP71" s="299"/>
    </row>
    <row r="72" spans="1:42" x14ac:dyDescent="0.25">
      <c r="A72" s="537"/>
      <c r="B72" s="510"/>
      <c r="C72" s="530"/>
      <c r="D72" s="286" t="s">
        <v>467</v>
      </c>
      <c r="E72" s="385" t="s">
        <v>335</v>
      </c>
      <c r="F72" s="310" t="s">
        <v>146</v>
      </c>
      <c r="G72" s="330"/>
      <c r="H72" s="322"/>
      <c r="I72" s="322"/>
      <c r="J72" s="322"/>
      <c r="K72" s="322"/>
      <c r="L72" s="322"/>
      <c r="M72" s="322"/>
      <c r="N72" s="322"/>
      <c r="O72" s="331"/>
      <c r="P72" s="330"/>
      <c r="Q72" s="322"/>
      <c r="R72" s="322"/>
      <c r="S72" s="322"/>
      <c r="T72" s="331"/>
      <c r="U72" s="330"/>
      <c r="V72" s="314" t="s">
        <v>371</v>
      </c>
      <c r="W72" s="322"/>
      <c r="X72" s="322"/>
      <c r="Y72" s="331"/>
      <c r="Z72" s="330"/>
      <c r="AA72" s="314"/>
      <c r="AB72" s="314"/>
      <c r="AC72" s="314" t="s">
        <v>371</v>
      </c>
      <c r="AD72" s="331"/>
      <c r="AE72" s="314" t="s">
        <v>371</v>
      </c>
      <c r="AF72" s="322"/>
      <c r="AG72" s="322"/>
      <c r="AH72" s="331"/>
      <c r="AI72" s="322"/>
      <c r="AJ72" s="322"/>
      <c r="AK72" s="322"/>
      <c r="AL72" s="209"/>
      <c r="AM72" s="71"/>
      <c r="AN72" s="288"/>
      <c r="AO72" s="288"/>
      <c r="AP72" s="299"/>
    </row>
    <row r="73" spans="1:42" x14ac:dyDescent="0.25">
      <c r="A73" s="537"/>
      <c r="B73" s="510"/>
      <c r="C73" s="530"/>
      <c r="D73" s="286" t="s">
        <v>468</v>
      </c>
      <c r="E73" s="385" t="s">
        <v>335</v>
      </c>
      <c r="F73" s="310" t="s">
        <v>147</v>
      </c>
      <c r="G73" s="343"/>
      <c r="H73" s="314"/>
      <c r="I73" s="314"/>
      <c r="J73" s="314"/>
      <c r="K73" s="314"/>
      <c r="L73" s="314"/>
      <c r="M73" s="314"/>
      <c r="N73" s="314"/>
      <c r="O73" s="333"/>
      <c r="P73" s="312"/>
      <c r="Q73" s="314"/>
      <c r="R73" s="314"/>
      <c r="S73" s="314"/>
      <c r="T73" s="333"/>
      <c r="U73" s="312"/>
      <c r="V73" s="314"/>
      <c r="W73" s="314"/>
      <c r="X73" s="314"/>
      <c r="Y73" s="333"/>
      <c r="Z73" s="312" t="s">
        <v>371</v>
      </c>
      <c r="AA73" s="314" t="s">
        <v>371</v>
      </c>
      <c r="AB73" s="314"/>
      <c r="AC73" s="314"/>
      <c r="AD73" s="333"/>
      <c r="AE73" s="312" t="s">
        <v>371</v>
      </c>
      <c r="AF73" s="322"/>
      <c r="AG73" s="322"/>
      <c r="AH73" s="333"/>
      <c r="AI73" s="314"/>
      <c r="AJ73" s="314"/>
      <c r="AK73" s="314" t="s">
        <v>371</v>
      </c>
      <c r="AL73" s="209" t="s">
        <v>434</v>
      </c>
      <c r="AM73" s="71"/>
      <c r="AN73" s="288"/>
      <c r="AO73" s="288"/>
      <c r="AP73" s="299"/>
    </row>
    <row r="74" spans="1:42" x14ac:dyDescent="0.25">
      <c r="A74" s="537"/>
      <c r="B74" s="510"/>
      <c r="C74" s="530"/>
      <c r="D74" s="286" t="s">
        <v>469</v>
      </c>
      <c r="E74" s="385" t="s">
        <v>335</v>
      </c>
      <c r="F74" s="310" t="s">
        <v>146</v>
      </c>
      <c r="G74" s="330"/>
      <c r="H74" s="322"/>
      <c r="I74" s="322"/>
      <c r="J74" s="322"/>
      <c r="K74" s="322"/>
      <c r="L74" s="322"/>
      <c r="M74" s="322"/>
      <c r="N74" s="322"/>
      <c r="O74" s="333"/>
      <c r="P74" s="330"/>
      <c r="Q74" s="322"/>
      <c r="R74" s="322"/>
      <c r="S74" s="322"/>
      <c r="T74" s="333"/>
      <c r="U74" s="330"/>
      <c r="V74" s="322"/>
      <c r="W74" s="322"/>
      <c r="X74" s="322"/>
      <c r="Y74" s="331"/>
      <c r="Z74" s="330"/>
      <c r="AA74" s="322"/>
      <c r="AB74" s="322"/>
      <c r="AC74" s="322"/>
      <c r="AD74" s="331"/>
      <c r="AE74" s="330"/>
      <c r="AF74" s="322"/>
      <c r="AG74" s="322"/>
      <c r="AH74" s="333"/>
      <c r="AI74" s="330"/>
      <c r="AJ74" s="322"/>
      <c r="AK74" s="334"/>
      <c r="AL74" s="209" t="s">
        <v>388</v>
      </c>
      <c r="AM74" s="71"/>
      <c r="AN74" s="288"/>
      <c r="AO74" s="288"/>
      <c r="AP74" s="299"/>
    </row>
    <row r="75" spans="1:42" ht="17.25" thickBot="1" x14ac:dyDescent="0.3">
      <c r="A75" s="537"/>
      <c r="B75" s="510"/>
      <c r="C75" s="531"/>
      <c r="D75" s="304" t="s">
        <v>470</v>
      </c>
      <c r="E75" s="386" t="s">
        <v>335</v>
      </c>
      <c r="F75" s="289" t="s">
        <v>145</v>
      </c>
      <c r="G75" s="373"/>
      <c r="H75" s="338"/>
      <c r="I75" s="338"/>
      <c r="J75" s="338"/>
      <c r="K75" s="338"/>
      <c r="L75" s="338"/>
      <c r="M75" s="338"/>
      <c r="N75" s="338"/>
      <c r="O75" s="339"/>
      <c r="P75" s="313"/>
      <c r="Q75" s="338"/>
      <c r="R75" s="338"/>
      <c r="S75" s="338"/>
      <c r="T75" s="339"/>
      <c r="U75" s="313"/>
      <c r="V75" s="338"/>
      <c r="W75" s="338"/>
      <c r="X75" s="338"/>
      <c r="Y75" s="339"/>
      <c r="Z75" s="313" t="s">
        <v>371</v>
      </c>
      <c r="AA75" s="338" t="s">
        <v>371</v>
      </c>
      <c r="AB75" s="338"/>
      <c r="AC75" s="338" t="s">
        <v>371</v>
      </c>
      <c r="AD75" s="339"/>
      <c r="AE75" s="313" t="s">
        <v>371</v>
      </c>
      <c r="AF75" s="337"/>
      <c r="AG75" s="337"/>
      <c r="AH75" s="339"/>
      <c r="AI75" s="338"/>
      <c r="AJ75" s="338"/>
      <c r="AK75" s="340"/>
      <c r="AL75" s="209"/>
      <c r="AM75" s="71"/>
      <c r="AN75" s="288"/>
      <c r="AO75" s="288"/>
      <c r="AP75" s="299"/>
    </row>
    <row r="76" spans="1:42" ht="17.25" thickTop="1" x14ac:dyDescent="0.25">
      <c r="A76" s="537"/>
      <c r="B76" s="510" t="str">
        <f>'Guideline Prioritization'!O21</f>
        <v>Very Important</v>
      </c>
      <c r="C76" s="527" t="s">
        <v>324</v>
      </c>
      <c r="D76" s="286" t="s">
        <v>471</v>
      </c>
      <c r="E76" s="383" t="s">
        <v>335</v>
      </c>
      <c r="F76" s="310" t="s">
        <v>146</v>
      </c>
      <c r="G76" s="322"/>
      <c r="H76" s="322"/>
      <c r="I76" s="322"/>
      <c r="J76" s="322"/>
      <c r="K76" s="322"/>
      <c r="L76" s="322"/>
      <c r="M76" s="322"/>
      <c r="N76" s="322"/>
      <c r="O76" s="333"/>
      <c r="P76" s="322"/>
      <c r="Q76" s="322"/>
      <c r="R76" s="322"/>
      <c r="S76" s="322"/>
      <c r="T76" s="333"/>
      <c r="U76" s="322"/>
      <c r="V76" s="322"/>
      <c r="W76" s="322"/>
      <c r="X76" s="322"/>
      <c r="Y76" s="322"/>
      <c r="Z76" s="312" t="s">
        <v>371</v>
      </c>
      <c r="AA76" s="314" t="s">
        <v>371</v>
      </c>
      <c r="AB76" s="314" t="s">
        <v>371</v>
      </c>
      <c r="AC76" s="322"/>
      <c r="AD76" s="322"/>
      <c r="AE76" s="312"/>
      <c r="AF76" s="314" t="s">
        <v>371</v>
      </c>
      <c r="AG76" s="322"/>
      <c r="AH76" s="331"/>
      <c r="AI76" s="314"/>
      <c r="AJ76" s="314" t="s">
        <v>371</v>
      </c>
      <c r="AK76" s="322"/>
      <c r="AL76" s="209"/>
      <c r="AM76" s="71"/>
      <c r="AN76" s="288"/>
      <c r="AO76" s="288"/>
      <c r="AP76" s="299"/>
    </row>
    <row r="77" spans="1:42" x14ac:dyDescent="0.25">
      <c r="A77" s="537"/>
      <c r="B77" s="510"/>
      <c r="C77" s="527"/>
      <c r="D77" s="286" t="s">
        <v>472</v>
      </c>
      <c r="E77" s="385" t="s">
        <v>335</v>
      </c>
      <c r="F77" s="310" t="s">
        <v>146</v>
      </c>
      <c r="G77" s="322"/>
      <c r="H77" s="322"/>
      <c r="I77" s="322"/>
      <c r="J77" s="322"/>
      <c r="K77" s="322"/>
      <c r="L77" s="322"/>
      <c r="M77" s="322"/>
      <c r="N77" s="322"/>
      <c r="O77" s="333"/>
      <c r="P77" s="322"/>
      <c r="Q77" s="322"/>
      <c r="R77" s="322"/>
      <c r="S77" s="322"/>
      <c r="T77" s="333"/>
      <c r="U77" s="322"/>
      <c r="V77" s="322"/>
      <c r="W77" s="322"/>
      <c r="X77" s="322"/>
      <c r="Y77" s="322"/>
      <c r="Z77" s="312" t="s">
        <v>371</v>
      </c>
      <c r="AA77" s="314" t="s">
        <v>371</v>
      </c>
      <c r="AB77" s="314" t="s">
        <v>371</v>
      </c>
      <c r="AC77" s="314"/>
      <c r="AD77" s="322"/>
      <c r="AE77" s="312"/>
      <c r="AF77" s="314" t="s">
        <v>371</v>
      </c>
      <c r="AG77" s="322"/>
      <c r="AH77" s="331"/>
      <c r="AI77" s="314"/>
      <c r="AJ77" s="314" t="s">
        <v>371</v>
      </c>
      <c r="AK77" s="322"/>
      <c r="AL77" s="209" t="s">
        <v>441</v>
      </c>
      <c r="AM77" s="71">
        <v>2.6</v>
      </c>
      <c r="AN77" s="288"/>
      <c r="AO77" s="288"/>
      <c r="AP77" s="299"/>
    </row>
    <row r="78" spans="1:42" ht="33" x14ac:dyDescent="0.25">
      <c r="A78" s="537"/>
      <c r="B78" s="510"/>
      <c r="C78" s="527"/>
      <c r="D78" s="286" t="s">
        <v>473</v>
      </c>
      <c r="E78" s="385" t="s">
        <v>335</v>
      </c>
      <c r="F78" s="310" t="s">
        <v>147</v>
      </c>
      <c r="G78" s="322"/>
      <c r="H78" s="322"/>
      <c r="I78" s="322"/>
      <c r="J78" s="322"/>
      <c r="K78" s="322"/>
      <c r="L78" s="322"/>
      <c r="M78" s="322"/>
      <c r="N78" s="322"/>
      <c r="O78" s="333"/>
      <c r="P78" s="322"/>
      <c r="Q78" s="322"/>
      <c r="R78" s="322"/>
      <c r="S78" s="322"/>
      <c r="T78" s="333"/>
      <c r="U78" s="322"/>
      <c r="V78" s="322"/>
      <c r="W78" s="322"/>
      <c r="X78" s="322"/>
      <c r="Y78" s="322"/>
      <c r="Z78" s="312" t="s">
        <v>371</v>
      </c>
      <c r="AA78" s="314" t="s">
        <v>371</v>
      </c>
      <c r="AB78" s="314" t="s">
        <v>371</v>
      </c>
      <c r="AC78" s="314"/>
      <c r="AD78" s="322"/>
      <c r="AE78" s="312"/>
      <c r="AF78" s="314" t="s">
        <v>371</v>
      </c>
      <c r="AG78" s="322"/>
      <c r="AH78" s="331"/>
      <c r="AI78" s="314" t="s">
        <v>371</v>
      </c>
      <c r="AJ78" s="314" t="s">
        <v>371</v>
      </c>
      <c r="AK78" s="314" t="s">
        <v>371</v>
      </c>
      <c r="AL78" s="209"/>
      <c r="AM78" s="71">
        <v>4.24</v>
      </c>
      <c r="AN78" s="288"/>
      <c r="AO78" s="288"/>
      <c r="AP78" s="299"/>
    </row>
    <row r="79" spans="1:42" x14ac:dyDescent="0.25">
      <c r="A79" s="537"/>
      <c r="B79" s="510"/>
      <c r="C79" s="527"/>
      <c r="D79" s="286" t="s">
        <v>474</v>
      </c>
      <c r="E79" s="385" t="s">
        <v>335</v>
      </c>
      <c r="F79" s="310" t="s">
        <v>146</v>
      </c>
      <c r="G79" s="322"/>
      <c r="H79" s="322"/>
      <c r="I79" s="322"/>
      <c r="J79" s="322"/>
      <c r="K79" s="322"/>
      <c r="L79" s="322"/>
      <c r="M79" s="322"/>
      <c r="N79" s="322"/>
      <c r="O79" s="333"/>
      <c r="P79" s="322"/>
      <c r="Q79" s="322"/>
      <c r="R79" s="322"/>
      <c r="S79" s="322"/>
      <c r="T79" s="333"/>
      <c r="U79" s="322"/>
      <c r="V79" s="322"/>
      <c r="W79" s="322"/>
      <c r="X79" s="322"/>
      <c r="Y79" s="322"/>
      <c r="Z79" s="312" t="s">
        <v>371</v>
      </c>
      <c r="AA79" s="314" t="s">
        <v>371</v>
      </c>
      <c r="AB79" s="314" t="s">
        <v>371</v>
      </c>
      <c r="AC79" s="314"/>
      <c r="AD79" s="322"/>
      <c r="AE79" s="312"/>
      <c r="AF79" s="314"/>
      <c r="AG79" s="322"/>
      <c r="AH79" s="331"/>
      <c r="AI79" s="314" t="s">
        <v>371</v>
      </c>
      <c r="AJ79" s="314" t="s">
        <v>371</v>
      </c>
      <c r="AK79" s="314" t="s">
        <v>371</v>
      </c>
      <c r="AL79" s="209"/>
      <c r="AM79" s="71"/>
      <c r="AN79" s="288"/>
      <c r="AO79" s="288"/>
      <c r="AP79" s="299"/>
    </row>
    <row r="80" spans="1:42" x14ac:dyDescent="0.25">
      <c r="A80" s="537"/>
      <c r="B80" s="510"/>
      <c r="C80" s="527"/>
      <c r="D80" s="286" t="s">
        <v>475</v>
      </c>
      <c r="E80" s="385" t="s">
        <v>335</v>
      </c>
      <c r="F80" s="287" t="s">
        <v>145</v>
      </c>
      <c r="G80" s="322"/>
      <c r="H80" s="322"/>
      <c r="I80" s="322"/>
      <c r="J80" s="322"/>
      <c r="K80" s="322"/>
      <c r="L80" s="322"/>
      <c r="M80" s="322"/>
      <c r="N80" s="322"/>
      <c r="O80" s="333"/>
      <c r="P80" s="322"/>
      <c r="Q80" s="322"/>
      <c r="R80" s="322"/>
      <c r="S80" s="322"/>
      <c r="T80" s="333"/>
      <c r="U80" s="322"/>
      <c r="V80" s="322"/>
      <c r="W80" s="322"/>
      <c r="X80" s="322"/>
      <c r="Y80" s="322"/>
      <c r="Z80" s="312" t="s">
        <v>371</v>
      </c>
      <c r="AA80" s="314" t="s">
        <v>371</v>
      </c>
      <c r="AB80" s="314" t="s">
        <v>371</v>
      </c>
      <c r="AC80" s="314"/>
      <c r="AD80" s="322"/>
      <c r="AE80" s="312"/>
      <c r="AF80" s="314"/>
      <c r="AG80" s="322"/>
      <c r="AH80" s="331"/>
      <c r="AI80" s="314" t="s">
        <v>371</v>
      </c>
      <c r="AJ80" s="314" t="s">
        <v>371</v>
      </c>
      <c r="AK80" s="314" t="s">
        <v>371</v>
      </c>
      <c r="AL80" s="209"/>
      <c r="AM80" s="71"/>
      <c r="AN80" s="288"/>
      <c r="AO80" s="288"/>
      <c r="AP80" s="299"/>
    </row>
    <row r="81" spans="1:42" x14ac:dyDescent="0.25">
      <c r="A81" s="537"/>
      <c r="B81" s="510"/>
      <c r="C81" s="527"/>
      <c r="D81" s="286" t="s">
        <v>476</v>
      </c>
      <c r="E81" s="385" t="s">
        <v>335</v>
      </c>
      <c r="F81" s="287" t="s">
        <v>145</v>
      </c>
      <c r="G81" s="322"/>
      <c r="H81" s="322"/>
      <c r="I81" s="322"/>
      <c r="J81" s="322"/>
      <c r="K81" s="322"/>
      <c r="L81" s="322"/>
      <c r="M81" s="322"/>
      <c r="N81" s="322"/>
      <c r="O81" s="333"/>
      <c r="P81" s="322"/>
      <c r="Q81" s="322"/>
      <c r="R81" s="322"/>
      <c r="S81" s="322"/>
      <c r="T81" s="333"/>
      <c r="U81" s="322"/>
      <c r="V81" s="322"/>
      <c r="W81" s="322"/>
      <c r="X81" s="322"/>
      <c r="Y81" s="322"/>
      <c r="Z81" s="312" t="s">
        <v>371</v>
      </c>
      <c r="AA81" s="314" t="s">
        <v>371</v>
      </c>
      <c r="AB81" s="314" t="s">
        <v>371</v>
      </c>
      <c r="AC81" s="314"/>
      <c r="AD81" s="322"/>
      <c r="AE81" s="312"/>
      <c r="AF81" s="314"/>
      <c r="AG81" s="322"/>
      <c r="AH81" s="331"/>
      <c r="AI81" s="314" t="s">
        <v>371</v>
      </c>
      <c r="AJ81" s="314" t="s">
        <v>371</v>
      </c>
      <c r="AK81" s="314" t="s">
        <v>371</v>
      </c>
      <c r="AL81" s="209"/>
      <c r="AM81" s="71"/>
      <c r="AN81" s="288"/>
      <c r="AO81" s="288"/>
      <c r="AP81" s="299"/>
    </row>
    <row r="82" spans="1:42" x14ac:dyDescent="0.25">
      <c r="A82" s="537"/>
      <c r="B82" s="510"/>
      <c r="C82" s="527"/>
      <c r="D82" s="286" t="s">
        <v>477</v>
      </c>
      <c r="E82" s="385" t="s">
        <v>335</v>
      </c>
      <c r="F82" s="310" t="s">
        <v>147</v>
      </c>
      <c r="G82" s="322"/>
      <c r="H82" s="322"/>
      <c r="I82" s="322"/>
      <c r="J82" s="322"/>
      <c r="K82" s="322"/>
      <c r="L82" s="322"/>
      <c r="M82" s="322"/>
      <c r="N82" s="322"/>
      <c r="O82" s="333"/>
      <c r="P82" s="322"/>
      <c r="Q82" s="322"/>
      <c r="R82" s="322"/>
      <c r="S82" s="322"/>
      <c r="T82" s="333"/>
      <c r="U82" s="322"/>
      <c r="V82" s="322"/>
      <c r="W82" s="322"/>
      <c r="X82" s="322"/>
      <c r="Y82" s="322"/>
      <c r="Z82" s="312" t="s">
        <v>371</v>
      </c>
      <c r="AA82" s="314" t="s">
        <v>371</v>
      </c>
      <c r="AB82" s="314"/>
      <c r="AC82" s="314"/>
      <c r="AD82" s="322"/>
      <c r="AE82" s="312"/>
      <c r="AF82" s="314"/>
      <c r="AG82" s="322"/>
      <c r="AH82" s="331"/>
      <c r="AI82" s="314"/>
      <c r="AJ82" s="314" t="s">
        <v>371</v>
      </c>
      <c r="AK82" s="314" t="s">
        <v>371</v>
      </c>
      <c r="AL82" s="209"/>
      <c r="AM82" s="71"/>
      <c r="AN82" s="288"/>
      <c r="AO82" s="288"/>
      <c r="AP82" s="299"/>
    </row>
    <row r="83" spans="1:42" ht="15" customHeight="1" x14ac:dyDescent="0.25">
      <c r="A83" s="537"/>
      <c r="B83" s="510"/>
      <c r="C83" s="527"/>
      <c r="D83" s="286" t="s">
        <v>478</v>
      </c>
      <c r="E83" s="385" t="s">
        <v>335</v>
      </c>
      <c r="F83" s="310" t="s">
        <v>147</v>
      </c>
      <c r="G83" s="322"/>
      <c r="H83" s="322"/>
      <c r="I83" s="322"/>
      <c r="J83" s="322"/>
      <c r="K83" s="322"/>
      <c r="L83" s="322"/>
      <c r="M83" s="322"/>
      <c r="N83" s="322"/>
      <c r="O83" s="333"/>
      <c r="P83" s="322"/>
      <c r="Q83" s="322"/>
      <c r="R83" s="322"/>
      <c r="S83" s="322"/>
      <c r="T83" s="333"/>
      <c r="U83" s="322"/>
      <c r="V83" s="322"/>
      <c r="W83" s="322"/>
      <c r="X83" s="322"/>
      <c r="Y83" s="322"/>
      <c r="Z83" s="312" t="s">
        <v>371</v>
      </c>
      <c r="AA83" s="314" t="s">
        <v>371</v>
      </c>
      <c r="AB83" s="314" t="s">
        <v>371</v>
      </c>
      <c r="AC83" s="314"/>
      <c r="AD83" s="322"/>
      <c r="AE83" s="312"/>
      <c r="AF83" s="314"/>
      <c r="AG83" s="322"/>
      <c r="AH83" s="331"/>
      <c r="AI83" s="314" t="s">
        <v>371</v>
      </c>
      <c r="AJ83" s="314" t="s">
        <v>371</v>
      </c>
      <c r="AK83" s="314" t="s">
        <v>371</v>
      </c>
      <c r="AL83" s="209"/>
      <c r="AM83" s="71">
        <v>4.24</v>
      </c>
      <c r="AN83" s="288"/>
      <c r="AO83" s="288"/>
      <c r="AP83" s="299"/>
    </row>
    <row r="84" spans="1:42" x14ac:dyDescent="0.25">
      <c r="A84" s="537"/>
      <c r="B84" s="510"/>
      <c r="C84" s="527"/>
      <c r="D84" s="286" t="s">
        <v>479</v>
      </c>
      <c r="E84" s="385" t="s">
        <v>335</v>
      </c>
      <c r="F84" s="310" t="s">
        <v>147</v>
      </c>
      <c r="G84" s="322"/>
      <c r="H84" s="322"/>
      <c r="I84" s="322"/>
      <c r="J84" s="322"/>
      <c r="K84" s="322"/>
      <c r="L84" s="322"/>
      <c r="M84" s="322"/>
      <c r="N84" s="322"/>
      <c r="O84" s="333"/>
      <c r="P84" s="322"/>
      <c r="Q84" s="322"/>
      <c r="R84" s="322"/>
      <c r="S84" s="322"/>
      <c r="T84" s="333"/>
      <c r="U84" s="322"/>
      <c r="V84" s="322"/>
      <c r="W84" s="322"/>
      <c r="X84" s="322"/>
      <c r="Y84" s="322"/>
      <c r="Z84" s="312" t="s">
        <v>371</v>
      </c>
      <c r="AA84" s="314" t="s">
        <v>371</v>
      </c>
      <c r="AB84" s="314" t="s">
        <v>371</v>
      </c>
      <c r="AC84" s="314"/>
      <c r="AD84" s="322"/>
      <c r="AE84" s="312"/>
      <c r="AF84" s="314"/>
      <c r="AG84" s="322"/>
      <c r="AH84" s="331"/>
      <c r="AI84" s="314" t="s">
        <v>371</v>
      </c>
      <c r="AJ84" s="314" t="s">
        <v>371</v>
      </c>
      <c r="AK84" s="314" t="s">
        <v>371</v>
      </c>
      <c r="AL84" s="209"/>
      <c r="AM84" s="71"/>
      <c r="AN84" s="288"/>
      <c r="AO84" s="288"/>
      <c r="AP84" s="299"/>
    </row>
    <row r="85" spans="1:42" ht="33" x14ac:dyDescent="0.25">
      <c r="A85" s="537"/>
      <c r="B85" s="510"/>
      <c r="C85" s="527"/>
      <c r="D85" s="286" t="s">
        <v>480</v>
      </c>
      <c r="E85" s="385" t="s">
        <v>335</v>
      </c>
      <c r="F85" s="310" t="s">
        <v>147</v>
      </c>
      <c r="G85" s="322"/>
      <c r="H85" s="322"/>
      <c r="I85" s="322"/>
      <c r="J85" s="322"/>
      <c r="K85" s="322"/>
      <c r="L85" s="322"/>
      <c r="M85" s="322"/>
      <c r="N85" s="322"/>
      <c r="O85" s="333"/>
      <c r="P85" s="322"/>
      <c r="Q85" s="322"/>
      <c r="R85" s="322"/>
      <c r="S85" s="322"/>
      <c r="T85" s="333"/>
      <c r="U85" s="322"/>
      <c r="V85" s="322"/>
      <c r="W85" s="322"/>
      <c r="X85" s="322"/>
      <c r="Y85" s="322"/>
      <c r="Z85" s="312" t="s">
        <v>371</v>
      </c>
      <c r="AA85" s="314" t="s">
        <v>371</v>
      </c>
      <c r="AB85" s="314" t="s">
        <v>371</v>
      </c>
      <c r="AC85" s="314"/>
      <c r="AD85" s="322"/>
      <c r="AE85" s="312"/>
      <c r="AF85" s="314"/>
      <c r="AG85" s="322"/>
      <c r="AH85" s="331"/>
      <c r="AI85" s="314" t="s">
        <v>371</v>
      </c>
      <c r="AJ85" s="314" t="s">
        <v>371</v>
      </c>
      <c r="AK85" s="314" t="s">
        <v>371</v>
      </c>
      <c r="AL85" s="209"/>
      <c r="AM85" s="71"/>
      <c r="AN85" s="288"/>
      <c r="AO85" s="288"/>
      <c r="AP85" s="299"/>
    </row>
    <row r="86" spans="1:42" x14ac:dyDescent="0.25">
      <c r="A86" s="537"/>
      <c r="B86" s="510"/>
      <c r="C86" s="527"/>
      <c r="D86" s="286" t="s">
        <v>481</v>
      </c>
      <c r="E86" s="385" t="s">
        <v>336</v>
      </c>
      <c r="F86" s="310" t="s">
        <v>146</v>
      </c>
      <c r="G86" s="322"/>
      <c r="H86" s="322"/>
      <c r="I86" s="322"/>
      <c r="J86" s="322"/>
      <c r="K86" s="322"/>
      <c r="L86" s="322"/>
      <c r="M86" s="322"/>
      <c r="N86" s="322"/>
      <c r="O86" s="333"/>
      <c r="P86" s="322"/>
      <c r="Q86" s="322"/>
      <c r="R86" s="322"/>
      <c r="S86" s="322"/>
      <c r="T86" s="333"/>
      <c r="U86" s="322"/>
      <c r="V86" s="322"/>
      <c r="W86" s="322"/>
      <c r="X86" s="322"/>
      <c r="Y86" s="322"/>
      <c r="Z86" s="312" t="s">
        <v>371</v>
      </c>
      <c r="AA86" s="314" t="s">
        <v>371</v>
      </c>
      <c r="AB86" s="314"/>
      <c r="AC86" s="314"/>
      <c r="AD86" s="322"/>
      <c r="AE86" s="312" t="s">
        <v>371</v>
      </c>
      <c r="AF86" s="314"/>
      <c r="AG86" s="322"/>
      <c r="AH86" s="331"/>
      <c r="AI86" s="314"/>
      <c r="AJ86" s="314" t="s">
        <v>371</v>
      </c>
      <c r="AK86" s="314"/>
      <c r="AL86" s="209"/>
      <c r="AM86" s="71"/>
      <c r="AN86" s="288"/>
      <c r="AO86" s="288"/>
      <c r="AP86" s="299"/>
    </row>
    <row r="87" spans="1:42" x14ac:dyDescent="0.25">
      <c r="A87" s="537"/>
      <c r="B87" s="510"/>
      <c r="C87" s="527"/>
      <c r="D87" s="286" t="s">
        <v>482</v>
      </c>
      <c r="E87" s="385" t="s">
        <v>335</v>
      </c>
      <c r="F87" s="310" t="s">
        <v>146</v>
      </c>
      <c r="G87" s="322"/>
      <c r="H87" s="322"/>
      <c r="I87" s="322"/>
      <c r="J87" s="322"/>
      <c r="K87" s="322"/>
      <c r="L87" s="322"/>
      <c r="M87" s="322"/>
      <c r="N87" s="322"/>
      <c r="O87" s="333"/>
      <c r="P87" s="322"/>
      <c r="Q87" s="322"/>
      <c r="R87" s="322"/>
      <c r="S87" s="322"/>
      <c r="T87" s="333"/>
      <c r="U87" s="322"/>
      <c r="V87" s="322"/>
      <c r="W87" s="322"/>
      <c r="X87" s="322"/>
      <c r="Y87" s="322"/>
      <c r="Z87" s="312" t="s">
        <v>371</v>
      </c>
      <c r="AA87" s="314" t="s">
        <v>371</v>
      </c>
      <c r="AB87" s="314"/>
      <c r="AC87" s="314"/>
      <c r="AD87" s="322"/>
      <c r="AE87" s="312" t="s">
        <v>371</v>
      </c>
      <c r="AF87" s="314"/>
      <c r="AG87" s="322"/>
      <c r="AH87" s="331"/>
      <c r="AI87" s="314"/>
      <c r="AJ87" s="314" t="s">
        <v>371</v>
      </c>
      <c r="AK87" s="314"/>
      <c r="AL87" s="209"/>
      <c r="AM87" s="71"/>
      <c r="AN87" s="288"/>
      <c r="AO87" s="288"/>
      <c r="AP87" s="299"/>
    </row>
    <row r="88" spans="1:42" x14ac:dyDescent="0.25">
      <c r="A88" s="537"/>
      <c r="B88" s="510"/>
      <c r="C88" s="527"/>
      <c r="D88" s="286" t="s">
        <v>483</v>
      </c>
      <c r="E88" s="385" t="s">
        <v>335</v>
      </c>
      <c r="F88" s="310" t="s">
        <v>146</v>
      </c>
      <c r="G88" s="322"/>
      <c r="H88" s="322"/>
      <c r="I88" s="322"/>
      <c r="J88" s="322"/>
      <c r="K88" s="322"/>
      <c r="L88" s="322"/>
      <c r="M88" s="322"/>
      <c r="N88" s="322"/>
      <c r="O88" s="333"/>
      <c r="P88" s="322"/>
      <c r="Q88" s="322"/>
      <c r="R88" s="322"/>
      <c r="S88" s="322"/>
      <c r="T88" s="333"/>
      <c r="U88" s="322"/>
      <c r="V88" s="322"/>
      <c r="W88" s="322"/>
      <c r="X88" s="322"/>
      <c r="Y88" s="322"/>
      <c r="Z88" s="312" t="s">
        <v>371</v>
      </c>
      <c r="AA88" s="314" t="s">
        <v>371</v>
      </c>
      <c r="AB88" s="314"/>
      <c r="AC88" s="314"/>
      <c r="AD88" s="322"/>
      <c r="AE88" s="312" t="s">
        <v>371</v>
      </c>
      <c r="AF88" s="314"/>
      <c r="AG88" s="322"/>
      <c r="AH88" s="331"/>
      <c r="AI88" s="314"/>
      <c r="AJ88" s="314" t="s">
        <v>371</v>
      </c>
      <c r="AK88" s="314"/>
      <c r="AL88" s="209"/>
      <c r="AM88" s="71"/>
      <c r="AN88" s="288"/>
      <c r="AO88" s="288"/>
      <c r="AP88" s="299"/>
    </row>
    <row r="89" spans="1:42" x14ac:dyDescent="0.25">
      <c r="A89" s="537"/>
      <c r="B89" s="510"/>
      <c r="C89" s="527"/>
      <c r="D89" s="286" t="s">
        <v>484</v>
      </c>
      <c r="E89" s="385" t="s">
        <v>335</v>
      </c>
      <c r="F89" s="287" t="s">
        <v>145</v>
      </c>
      <c r="G89" s="322"/>
      <c r="H89" s="322"/>
      <c r="I89" s="322"/>
      <c r="J89" s="322"/>
      <c r="K89" s="322"/>
      <c r="L89" s="322"/>
      <c r="M89" s="322"/>
      <c r="N89" s="322"/>
      <c r="O89" s="333"/>
      <c r="P89" s="322"/>
      <c r="Q89" s="322"/>
      <c r="R89" s="322"/>
      <c r="S89" s="322"/>
      <c r="T89" s="333"/>
      <c r="U89" s="322"/>
      <c r="V89" s="322"/>
      <c r="W89" s="322"/>
      <c r="X89" s="322"/>
      <c r="Y89" s="322"/>
      <c r="Z89" s="312" t="s">
        <v>371</v>
      </c>
      <c r="AA89" s="314" t="s">
        <v>371</v>
      </c>
      <c r="AB89" s="314"/>
      <c r="AC89" s="314"/>
      <c r="AD89" s="322"/>
      <c r="AE89" s="312"/>
      <c r="AF89" s="314"/>
      <c r="AG89" s="322"/>
      <c r="AH89" s="331"/>
      <c r="AI89" s="314" t="s">
        <v>371</v>
      </c>
      <c r="AJ89" s="314" t="s">
        <v>371</v>
      </c>
      <c r="AK89" s="314"/>
      <c r="AL89" s="209"/>
      <c r="AM89" s="71"/>
      <c r="AN89" s="288"/>
      <c r="AO89" s="288"/>
      <c r="AP89" s="299"/>
    </row>
    <row r="90" spans="1:42" x14ac:dyDescent="0.25">
      <c r="A90" s="537"/>
      <c r="B90" s="510"/>
      <c r="C90" s="527"/>
      <c r="D90" s="286" t="s">
        <v>485</v>
      </c>
      <c r="E90" s="385" t="s">
        <v>335</v>
      </c>
      <c r="F90" s="287" t="s">
        <v>145</v>
      </c>
      <c r="G90" s="322"/>
      <c r="H90" s="322"/>
      <c r="I90" s="322"/>
      <c r="J90" s="322"/>
      <c r="K90" s="322"/>
      <c r="L90" s="322"/>
      <c r="M90" s="322"/>
      <c r="N90" s="322"/>
      <c r="O90" s="333"/>
      <c r="P90" s="322"/>
      <c r="Q90" s="322"/>
      <c r="R90" s="322"/>
      <c r="S90" s="322"/>
      <c r="T90" s="333"/>
      <c r="U90" s="322"/>
      <c r="V90" s="322"/>
      <c r="W90" s="322"/>
      <c r="X90" s="322"/>
      <c r="Y90" s="322"/>
      <c r="Z90" s="312" t="s">
        <v>371</v>
      </c>
      <c r="AA90" s="314" t="s">
        <v>371</v>
      </c>
      <c r="AB90" s="314"/>
      <c r="AC90" s="314"/>
      <c r="AD90" s="322"/>
      <c r="AE90" s="312"/>
      <c r="AF90" s="314" t="s">
        <v>371</v>
      </c>
      <c r="AG90" s="322"/>
      <c r="AH90" s="331"/>
      <c r="AI90" s="314" t="s">
        <v>371</v>
      </c>
      <c r="AJ90" s="314" t="s">
        <v>371</v>
      </c>
      <c r="AK90" s="314"/>
      <c r="AL90" s="209"/>
      <c r="AM90" s="71"/>
      <c r="AN90" s="288"/>
      <c r="AO90" s="288"/>
      <c r="AP90" s="299"/>
    </row>
    <row r="91" spans="1:42" x14ac:dyDescent="0.25">
      <c r="A91" s="537"/>
      <c r="B91" s="510"/>
      <c r="C91" s="527"/>
      <c r="D91" s="287" t="s">
        <v>486</v>
      </c>
      <c r="E91" s="385" t="s">
        <v>335</v>
      </c>
      <c r="F91" s="310" t="s">
        <v>146</v>
      </c>
      <c r="G91" s="322"/>
      <c r="H91" s="322"/>
      <c r="I91" s="322"/>
      <c r="J91" s="322"/>
      <c r="K91" s="322"/>
      <c r="L91" s="322"/>
      <c r="M91" s="322"/>
      <c r="N91" s="322"/>
      <c r="O91" s="333"/>
      <c r="P91" s="322"/>
      <c r="Q91" s="322"/>
      <c r="R91" s="322"/>
      <c r="S91" s="322"/>
      <c r="T91" s="333"/>
      <c r="U91" s="322"/>
      <c r="V91" s="322"/>
      <c r="W91" s="322"/>
      <c r="X91" s="322"/>
      <c r="Y91" s="322"/>
      <c r="Z91" s="312" t="s">
        <v>371</v>
      </c>
      <c r="AA91" s="314" t="s">
        <v>371</v>
      </c>
      <c r="AB91" s="314"/>
      <c r="AC91" s="314"/>
      <c r="AD91" s="322"/>
      <c r="AE91" s="312"/>
      <c r="AF91" s="314"/>
      <c r="AG91" s="322"/>
      <c r="AH91" s="331"/>
      <c r="AI91" s="314"/>
      <c r="AJ91" s="314" t="s">
        <v>371</v>
      </c>
      <c r="AK91" s="314"/>
      <c r="AL91" s="209"/>
      <c r="AM91" s="71"/>
      <c r="AN91" s="288"/>
      <c r="AO91" s="288"/>
      <c r="AP91" s="299"/>
    </row>
    <row r="92" spans="1:42" ht="17.25" thickBot="1" x14ac:dyDescent="0.3">
      <c r="A92" s="537"/>
      <c r="B92" s="511"/>
      <c r="C92" s="528"/>
      <c r="D92" s="304" t="s">
        <v>487</v>
      </c>
      <c r="E92" s="386" t="s">
        <v>335</v>
      </c>
      <c r="F92" s="311" t="s">
        <v>146</v>
      </c>
      <c r="G92" s="337"/>
      <c r="H92" s="337"/>
      <c r="I92" s="337"/>
      <c r="J92" s="337"/>
      <c r="K92" s="337"/>
      <c r="L92" s="337"/>
      <c r="M92" s="337"/>
      <c r="N92" s="337"/>
      <c r="O92" s="339"/>
      <c r="P92" s="337"/>
      <c r="Q92" s="337"/>
      <c r="R92" s="337"/>
      <c r="S92" s="337"/>
      <c r="T92" s="339"/>
      <c r="U92" s="337"/>
      <c r="V92" s="337"/>
      <c r="W92" s="337"/>
      <c r="X92" s="337"/>
      <c r="Y92" s="337"/>
      <c r="Z92" s="313" t="s">
        <v>371</v>
      </c>
      <c r="AA92" s="338"/>
      <c r="AB92" s="338"/>
      <c r="AC92" s="338"/>
      <c r="AD92" s="337"/>
      <c r="AE92" s="313"/>
      <c r="AF92" s="338"/>
      <c r="AG92" s="337"/>
      <c r="AH92" s="366"/>
      <c r="AI92" s="338"/>
      <c r="AJ92" s="338" t="s">
        <v>371</v>
      </c>
      <c r="AK92" s="340"/>
      <c r="AL92" s="217"/>
      <c r="AM92" s="71"/>
      <c r="AN92" s="288"/>
      <c r="AO92" s="288"/>
      <c r="AP92" s="299"/>
    </row>
    <row r="93" spans="1:42" ht="17.25" thickTop="1" x14ac:dyDescent="0.25">
      <c r="A93" s="537"/>
      <c r="B93" s="510" t="str">
        <f>'Guideline Prioritization'!O22</f>
        <v>Critically Important / Essential</v>
      </c>
      <c r="C93" s="524" t="s">
        <v>325</v>
      </c>
      <c r="D93" s="286" t="s">
        <v>488</v>
      </c>
      <c r="E93" s="383" t="s">
        <v>335</v>
      </c>
      <c r="F93" s="310" t="s">
        <v>147</v>
      </c>
      <c r="G93" s="374"/>
      <c r="H93" s="322"/>
      <c r="I93" s="322"/>
      <c r="J93" s="314" t="s">
        <v>371</v>
      </c>
      <c r="K93" s="322"/>
      <c r="L93" s="322"/>
      <c r="M93" s="322"/>
      <c r="N93" s="314" t="s">
        <v>371</v>
      </c>
      <c r="O93" s="333"/>
      <c r="P93" s="322"/>
      <c r="Q93" s="322"/>
      <c r="R93" s="322"/>
      <c r="S93" s="322"/>
      <c r="T93" s="333"/>
      <c r="U93" s="322"/>
      <c r="V93" s="322"/>
      <c r="W93" s="322"/>
      <c r="X93" s="322"/>
      <c r="Y93" s="322"/>
      <c r="Z93" s="312" t="s">
        <v>371</v>
      </c>
      <c r="AA93" s="322"/>
      <c r="AB93" s="322"/>
      <c r="AC93" s="322"/>
      <c r="AD93" s="322"/>
      <c r="AE93" s="322"/>
      <c r="AF93" s="322"/>
      <c r="AG93" s="322"/>
      <c r="AH93" s="331"/>
      <c r="AI93" s="314" t="s">
        <v>371</v>
      </c>
      <c r="AJ93" s="322"/>
      <c r="AK93" s="322"/>
      <c r="AL93" s="223"/>
      <c r="AM93" s="71"/>
      <c r="AN93" s="288"/>
      <c r="AO93" s="288"/>
      <c r="AP93" s="299"/>
    </row>
    <row r="94" spans="1:42" ht="17.25" customHeight="1" x14ac:dyDescent="0.25">
      <c r="A94" s="537"/>
      <c r="B94" s="510"/>
      <c r="C94" s="525"/>
      <c r="D94" s="286" t="s">
        <v>489</v>
      </c>
      <c r="E94" s="385" t="s">
        <v>335</v>
      </c>
      <c r="F94" s="287" t="s">
        <v>145</v>
      </c>
      <c r="G94" s="322"/>
      <c r="H94" s="322"/>
      <c r="I94" s="322"/>
      <c r="J94" s="314"/>
      <c r="K94" s="322"/>
      <c r="L94" s="322"/>
      <c r="M94" s="322"/>
      <c r="N94" s="314" t="s">
        <v>371</v>
      </c>
      <c r="O94" s="333"/>
      <c r="P94" s="322"/>
      <c r="Q94" s="322"/>
      <c r="R94" s="322"/>
      <c r="S94" s="322"/>
      <c r="T94" s="333"/>
      <c r="U94" s="322"/>
      <c r="V94" s="322"/>
      <c r="W94" s="322"/>
      <c r="X94" s="322"/>
      <c r="Y94" s="322"/>
      <c r="Z94" s="312" t="s">
        <v>371</v>
      </c>
      <c r="AA94" s="314" t="s">
        <v>371</v>
      </c>
      <c r="AB94" s="322"/>
      <c r="AC94" s="322"/>
      <c r="AD94" s="322"/>
      <c r="AE94" s="314" t="s">
        <v>371</v>
      </c>
      <c r="AF94" s="314" t="s">
        <v>371</v>
      </c>
      <c r="AG94" s="314" t="s">
        <v>371</v>
      </c>
      <c r="AH94" s="331"/>
      <c r="AI94" s="314" t="s">
        <v>371</v>
      </c>
      <c r="AJ94" s="314" t="s">
        <v>371</v>
      </c>
      <c r="AK94" s="322"/>
      <c r="AL94" s="209"/>
      <c r="AM94" s="71"/>
      <c r="AN94" s="288"/>
      <c r="AO94" s="288"/>
      <c r="AP94" s="299"/>
    </row>
    <row r="95" spans="1:42" ht="33" x14ac:dyDescent="0.25">
      <c r="A95" s="537"/>
      <c r="B95" s="510"/>
      <c r="C95" s="525"/>
      <c r="D95" s="286" t="s">
        <v>490</v>
      </c>
      <c r="E95" s="385" t="s">
        <v>336</v>
      </c>
      <c r="F95" s="310" t="s">
        <v>146</v>
      </c>
      <c r="G95" s="321"/>
      <c r="H95" s="321"/>
      <c r="I95" s="321"/>
      <c r="J95" s="321"/>
      <c r="K95" s="321"/>
      <c r="L95" s="321"/>
      <c r="M95" s="321"/>
      <c r="N95" s="314" t="s">
        <v>371</v>
      </c>
      <c r="O95" s="333"/>
      <c r="P95" s="321"/>
      <c r="Q95" s="321"/>
      <c r="R95" s="321"/>
      <c r="S95" s="321"/>
      <c r="T95" s="333"/>
      <c r="U95" s="321"/>
      <c r="V95" s="321"/>
      <c r="W95" s="321"/>
      <c r="X95" s="321"/>
      <c r="Y95" s="322"/>
      <c r="Z95" s="312" t="s">
        <v>371</v>
      </c>
      <c r="AA95" s="321"/>
      <c r="AB95" s="321"/>
      <c r="AC95" s="321"/>
      <c r="AD95" s="321"/>
      <c r="AE95" s="314" t="s">
        <v>371</v>
      </c>
      <c r="AF95" s="314" t="s">
        <v>371</v>
      </c>
      <c r="AG95" s="314" t="s">
        <v>371</v>
      </c>
      <c r="AH95" s="331" t="s">
        <v>371</v>
      </c>
      <c r="AI95" s="321"/>
      <c r="AJ95" s="314" t="s">
        <v>371</v>
      </c>
      <c r="AK95" s="321"/>
      <c r="AL95" s="209"/>
      <c r="AM95" s="71"/>
      <c r="AN95" s="288"/>
      <c r="AO95" s="288"/>
      <c r="AP95" s="299"/>
    </row>
    <row r="96" spans="1:42" ht="17.25" thickBot="1" x14ac:dyDescent="0.3">
      <c r="A96" s="537"/>
      <c r="B96" s="510"/>
      <c r="C96" s="526"/>
      <c r="D96" s="289" t="s">
        <v>491</v>
      </c>
      <c r="E96" s="386" t="s">
        <v>335</v>
      </c>
      <c r="F96" s="311" t="s">
        <v>146</v>
      </c>
      <c r="G96" s="341"/>
      <c r="H96" s="336"/>
      <c r="I96" s="336"/>
      <c r="J96" s="336"/>
      <c r="K96" s="336"/>
      <c r="L96" s="336"/>
      <c r="M96" s="336"/>
      <c r="N96" s="336"/>
      <c r="O96" s="339"/>
      <c r="P96" s="336"/>
      <c r="Q96" s="336"/>
      <c r="R96" s="336"/>
      <c r="S96" s="336"/>
      <c r="T96" s="339"/>
      <c r="U96" s="336"/>
      <c r="V96" s="336"/>
      <c r="W96" s="336"/>
      <c r="X96" s="336"/>
      <c r="Y96" s="336"/>
      <c r="Z96" s="313" t="s">
        <v>371</v>
      </c>
      <c r="AA96" s="336"/>
      <c r="AB96" s="336"/>
      <c r="AC96" s="336"/>
      <c r="AD96" s="336"/>
      <c r="AE96" s="338" t="s">
        <v>371</v>
      </c>
      <c r="AF96" s="338" t="s">
        <v>371</v>
      </c>
      <c r="AG96" s="338" t="s">
        <v>371</v>
      </c>
      <c r="AH96" s="366" t="s">
        <v>371</v>
      </c>
      <c r="AI96" s="336"/>
      <c r="AJ96" s="338" t="s">
        <v>371</v>
      </c>
      <c r="AK96" s="375"/>
      <c r="AL96" s="217"/>
      <c r="AM96" s="71"/>
      <c r="AN96" s="288"/>
      <c r="AO96" s="288"/>
      <c r="AP96" s="299"/>
    </row>
    <row r="97" spans="1:42" ht="17.25" thickTop="1" x14ac:dyDescent="0.25">
      <c r="A97" s="537"/>
      <c r="B97" s="510" t="str">
        <f>'Guideline Prioritization'!O23</f>
        <v>Moderately Important</v>
      </c>
      <c r="C97" s="527" t="s">
        <v>326</v>
      </c>
      <c r="D97" s="286" t="s">
        <v>492</v>
      </c>
      <c r="E97" s="385" t="s">
        <v>335</v>
      </c>
      <c r="F97" s="287" t="s">
        <v>145</v>
      </c>
      <c r="G97" s="321"/>
      <c r="H97" s="321"/>
      <c r="I97" s="321"/>
      <c r="J97" s="321"/>
      <c r="K97" s="321"/>
      <c r="L97" s="321"/>
      <c r="M97" s="321"/>
      <c r="N97" s="321"/>
      <c r="O97" s="333"/>
      <c r="P97" s="321"/>
      <c r="Q97" s="321"/>
      <c r="R97" s="321"/>
      <c r="S97" s="321"/>
      <c r="T97" s="333"/>
      <c r="U97" s="321"/>
      <c r="V97" s="321"/>
      <c r="W97" s="321"/>
      <c r="X97" s="321"/>
      <c r="Y97" s="321"/>
      <c r="Z97" s="312" t="s">
        <v>371</v>
      </c>
      <c r="AA97" s="314" t="s">
        <v>371</v>
      </c>
      <c r="AB97" s="321"/>
      <c r="AC97" s="321"/>
      <c r="AD97" s="321"/>
      <c r="AE97" s="321"/>
      <c r="AF97" s="321"/>
      <c r="AG97" s="321"/>
      <c r="AH97" s="331"/>
      <c r="AI97" s="312" t="s">
        <v>371</v>
      </c>
      <c r="AJ97" s="314" t="s">
        <v>371</v>
      </c>
      <c r="AK97" s="321"/>
      <c r="AL97" s="215"/>
      <c r="AM97" s="71"/>
      <c r="AN97" s="288"/>
      <c r="AO97" s="288"/>
      <c r="AP97" s="299"/>
    </row>
    <row r="98" spans="1:42" x14ac:dyDescent="0.25">
      <c r="A98" s="537"/>
      <c r="B98" s="510"/>
      <c r="C98" s="527"/>
      <c r="D98" s="286" t="s">
        <v>493</v>
      </c>
      <c r="E98" s="385" t="s">
        <v>335</v>
      </c>
      <c r="F98" s="310" t="s">
        <v>147</v>
      </c>
      <c r="G98" s="321"/>
      <c r="H98" s="321"/>
      <c r="I98" s="321"/>
      <c r="J98" s="321"/>
      <c r="K98" s="321"/>
      <c r="L98" s="321"/>
      <c r="M98" s="321"/>
      <c r="N98" s="321"/>
      <c r="O98" s="333"/>
      <c r="P98" s="321"/>
      <c r="Q98" s="321"/>
      <c r="R98" s="321"/>
      <c r="S98" s="321"/>
      <c r="T98" s="333"/>
      <c r="U98" s="321"/>
      <c r="V98" s="321"/>
      <c r="W98" s="321"/>
      <c r="X98" s="321"/>
      <c r="Y98" s="321"/>
      <c r="Z98" s="312" t="s">
        <v>371</v>
      </c>
      <c r="AA98" s="314" t="s">
        <v>371</v>
      </c>
      <c r="AB98" s="314" t="s">
        <v>371</v>
      </c>
      <c r="AC98" s="321"/>
      <c r="AD98" s="321"/>
      <c r="AE98" s="321"/>
      <c r="AF98" s="321"/>
      <c r="AG98" s="321"/>
      <c r="AH98" s="331"/>
      <c r="AI98" s="312" t="s">
        <v>371</v>
      </c>
      <c r="AJ98" s="314" t="s">
        <v>371</v>
      </c>
      <c r="AK98" s="321"/>
      <c r="AL98" s="209"/>
      <c r="AM98" s="71"/>
      <c r="AN98" s="288"/>
      <c r="AO98" s="288"/>
      <c r="AP98" s="299"/>
    </row>
    <row r="99" spans="1:42" x14ac:dyDescent="0.25">
      <c r="A99" s="537"/>
      <c r="B99" s="510"/>
      <c r="C99" s="527"/>
      <c r="D99" s="286" t="s">
        <v>494</v>
      </c>
      <c r="E99" s="385" t="s">
        <v>335</v>
      </c>
      <c r="F99" s="310" t="s">
        <v>147</v>
      </c>
      <c r="G99" s="321"/>
      <c r="H99" s="321"/>
      <c r="I99" s="321"/>
      <c r="J99" s="321"/>
      <c r="K99" s="321"/>
      <c r="L99" s="321"/>
      <c r="M99" s="321"/>
      <c r="N99" s="321"/>
      <c r="O99" s="333"/>
      <c r="P99" s="321"/>
      <c r="Q99" s="321"/>
      <c r="R99" s="321"/>
      <c r="S99" s="321"/>
      <c r="T99" s="333"/>
      <c r="U99" s="321"/>
      <c r="V99" s="321"/>
      <c r="W99" s="321"/>
      <c r="X99" s="321"/>
      <c r="Y99" s="321"/>
      <c r="Z99" s="312" t="s">
        <v>371</v>
      </c>
      <c r="AA99" s="314" t="s">
        <v>371</v>
      </c>
      <c r="AB99" s="314" t="s">
        <v>371</v>
      </c>
      <c r="AC99" s="321"/>
      <c r="AD99" s="321"/>
      <c r="AE99" s="321"/>
      <c r="AF99" s="321"/>
      <c r="AG99" s="321"/>
      <c r="AH99" s="331"/>
      <c r="AI99" s="312" t="s">
        <v>371</v>
      </c>
      <c r="AJ99" s="314" t="s">
        <v>371</v>
      </c>
      <c r="AK99" s="314" t="s">
        <v>371</v>
      </c>
      <c r="AL99" s="209"/>
      <c r="AM99" s="71"/>
      <c r="AN99" s="288"/>
      <c r="AO99" s="288"/>
      <c r="AP99" s="299"/>
    </row>
    <row r="100" spans="1:42" x14ac:dyDescent="0.25">
      <c r="A100" s="537"/>
      <c r="B100" s="510"/>
      <c r="C100" s="527"/>
      <c r="D100" s="286" t="s">
        <v>495</v>
      </c>
      <c r="E100" s="385" t="s">
        <v>335</v>
      </c>
      <c r="F100" s="310" t="s">
        <v>146</v>
      </c>
      <c r="G100" s="321"/>
      <c r="H100" s="321"/>
      <c r="I100" s="321"/>
      <c r="J100" s="321"/>
      <c r="K100" s="321"/>
      <c r="L100" s="321"/>
      <c r="M100" s="321"/>
      <c r="N100" s="321"/>
      <c r="O100" s="333"/>
      <c r="P100" s="321"/>
      <c r="Q100" s="321"/>
      <c r="R100" s="321"/>
      <c r="S100" s="321"/>
      <c r="T100" s="333"/>
      <c r="U100" s="321"/>
      <c r="V100" s="321"/>
      <c r="W100" s="321"/>
      <c r="X100" s="321"/>
      <c r="Y100" s="321"/>
      <c r="Z100" s="312" t="s">
        <v>371</v>
      </c>
      <c r="AA100" s="314" t="s">
        <v>371</v>
      </c>
      <c r="AB100" s="314" t="s">
        <v>371</v>
      </c>
      <c r="AC100" s="321"/>
      <c r="AD100" s="321"/>
      <c r="AE100" s="321"/>
      <c r="AF100" s="321"/>
      <c r="AG100" s="321"/>
      <c r="AH100" s="331"/>
      <c r="AI100" s="312" t="s">
        <v>371</v>
      </c>
      <c r="AJ100" s="314" t="s">
        <v>371</v>
      </c>
      <c r="AK100" s="314" t="s">
        <v>371</v>
      </c>
      <c r="AL100" s="209"/>
      <c r="AM100" s="71"/>
      <c r="AN100" s="288"/>
      <c r="AO100" s="288"/>
      <c r="AP100" s="299"/>
    </row>
    <row r="101" spans="1:42" x14ac:dyDescent="0.25">
      <c r="A101" s="537"/>
      <c r="B101" s="510"/>
      <c r="C101" s="527"/>
      <c r="D101" s="286" t="s">
        <v>496</v>
      </c>
      <c r="E101" s="385" t="s">
        <v>335</v>
      </c>
      <c r="F101" s="310" t="s">
        <v>147</v>
      </c>
      <c r="G101" s="321"/>
      <c r="H101" s="321"/>
      <c r="I101" s="321"/>
      <c r="J101" s="321"/>
      <c r="K101" s="321"/>
      <c r="L101" s="321"/>
      <c r="M101" s="321"/>
      <c r="N101" s="321"/>
      <c r="O101" s="333"/>
      <c r="P101" s="321"/>
      <c r="Q101" s="321"/>
      <c r="R101" s="321"/>
      <c r="S101" s="321"/>
      <c r="T101" s="333"/>
      <c r="U101" s="321"/>
      <c r="V101" s="321"/>
      <c r="W101" s="321"/>
      <c r="X101" s="321"/>
      <c r="Y101" s="321"/>
      <c r="Z101" s="312" t="s">
        <v>371</v>
      </c>
      <c r="AA101" s="314" t="s">
        <v>371</v>
      </c>
      <c r="AB101" s="314" t="s">
        <v>371</v>
      </c>
      <c r="AC101" s="321"/>
      <c r="AD101" s="321"/>
      <c r="AE101" s="321"/>
      <c r="AF101" s="321"/>
      <c r="AG101" s="321"/>
      <c r="AH101" s="331"/>
      <c r="AI101" s="312" t="s">
        <v>371</v>
      </c>
      <c r="AJ101" s="314" t="s">
        <v>371</v>
      </c>
      <c r="AK101" s="314" t="s">
        <v>371</v>
      </c>
      <c r="AL101" s="209"/>
      <c r="AM101" s="71">
        <v>4.24</v>
      </c>
      <c r="AN101" s="288"/>
      <c r="AO101" s="288"/>
      <c r="AP101" s="299"/>
    </row>
    <row r="102" spans="1:42" x14ac:dyDescent="0.25">
      <c r="A102" s="537"/>
      <c r="B102" s="510"/>
      <c r="C102" s="527"/>
      <c r="D102" s="286" t="s">
        <v>497</v>
      </c>
      <c r="E102" s="385" t="s">
        <v>335</v>
      </c>
      <c r="F102" s="310" t="s">
        <v>146</v>
      </c>
      <c r="G102" s="321"/>
      <c r="H102" s="321"/>
      <c r="I102" s="321"/>
      <c r="J102" s="321"/>
      <c r="K102" s="321"/>
      <c r="L102" s="321"/>
      <c r="M102" s="321"/>
      <c r="N102" s="321"/>
      <c r="O102" s="333"/>
      <c r="P102" s="321"/>
      <c r="Q102" s="321"/>
      <c r="R102" s="321"/>
      <c r="S102" s="321"/>
      <c r="T102" s="333"/>
      <c r="U102" s="321"/>
      <c r="V102" s="321"/>
      <c r="W102" s="321"/>
      <c r="X102" s="321"/>
      <c r="Y102" s="321"/>
      <c r="Z102" s="312" t="s">
        <v>371</v>
      </c>
      <c r="AA102" s="314" t="s">
        <v>371</v>
      </c>
      <c r="AB102" s="314" t="s">
        <v>371</v>
      </c>
      <c r="AC102" s="321"/>
      <c r="AD102" s="321"/>
      <c r="AE102" s="321"/>
      <c r="AF102" s="321"/>
      <c r="AG102" s="321"/>
      <c r="AH102" s="331"/>
      <c r="AI102" s="312"/>
      <c r="AJ102" s="314" t="s">
        <v>371</v>
      </c>
      <c r="AK102" s="314"/>
      <c r="AL102" s="209"/>
      <c r="AM102" s="71"/>
      <c r="AN102" s="288"/>
      <c r="AO102" s="288"/>
      <c r="AP102" s="299"/>
    </row>
    <row r="103" spans="1:42" ht="23.25" customHeight="1" thickBot="1" x14ac:dyDescent="0.3">
      <c r="A103" s="537"/>
      <c r="B103" s="511"/>
      <c r="C103" s="528"/>
      <c r="D103" s="289" t="s">
        <v>498</v>
      </c>
      <c r="E103" s="386" t="s">
        <v>335</v>
      </c>
      <c r="F103" s="311" t="s">
        <v>146</v>
      </c>
      <c r="G103" s="336"/>
      <c r="H103" s="336"/>
      <c r="I103" s="336"/>
      <c r="J103" s="336"/>
      <c r="K103" s="336"/>
      <c r="L103" s="336"/>
      <c r="M103" s="336"/>
      <c r="N103" s="336"/>
      <c r="O103" s="339"/>
      <c r="P103" s="336"/>
      <c r="Q103" s="336"/>
      <c r="R103" s="336"/>
      <c r="S103" s="336"/>
      <c r="T103" s="339"/>
      <c r="U103" s="336"/>
      <c r="V103" s="336"/>
      <c r="W103" s="336"/>
      <c r="X103" s="336"/>
      <c r="Y103" s="336"/>
      <c r="Z103" s="313" t="s">
        <v>371</v>
      </c>
      <c r="AA103" s="338" t="s">
        <v>371</v>
      </c>
      <c r="AB103" s="338" t="s">
        <v>371</v>
      </c>
      <c r="AC103" s="336"/>
      <c r="AD103" s="336"/>
      <c r="AE103" s="336"/>
      <c r="AF103" s="336"/>
      <c r="AG103" s="336"/>
      <c r="AH103" s="366"/>
      <c r="AI103" s="313" t="s">
        <v>371</v>
      </c>
      <c r="AJ103" s="338" t="s">
        <v>371</v>
      </c>
      <c r="AK103" s="340"/>
      <c r="AL103" s="217" t="s">
        <v>436</v>
      </c>
      <c r="AM103" s="71"/>
      <c r="AN103" s="288"/>
      <c r="AO103" s="288"/>
      <c r="AP103" s="299"/>
    </row>
    <row r="104" spans="1:42" ht="16.5" customHeight="1" thickTop="1" x14ac:dyDescent="0.25">
      <c r="A104" s="537"/>
      <c r="B104" s="510" t="str">
        <f>'Guideline Prioritization'!O24</f>
        <v>Moderately Important</v>
      </c>
      <c r="C104" s="527" t="s">
        <v>327</v>
      </c>
      <c r="D104" s="286" t="s">
        <v>499</v>
      </c>
      <c r="E104" s="385" t="s">
        <v>335</v>
      </c>
      <c r="F104" s="310" t="s">
        <v>146</v>
      </c>
      <c r="G104" s="321"/>
      <c r="H104" s="321"/>
      <c r="I104" s="321"/>
      <c r="J104" s="321"/>
      <c r="K104" s="321"/>
      <c r="L104" s="314"/>
      <c r="M104" s="321"/>
      <c r="N104" s="321"/>
      <c r="O104" s="333"/>
      <c r="P104" s="321"/>
      <c r="Q104" s="321"/>
      <c r="R104" s="321"/>
      <c r="S104" s="321"/>
      <c r="T104" s="333"/>
      <c r="U104" s="321"/>
      <c r="V104" s="321"/>
      <c r="W104" s="321"/>
      <c r="X104" s="321"/>
      <c r="Y104" s="321"/>
      <c r="Z104" s="312" t="s">
        <v>371</v>
      </c>
      <c r="AA104" s="321"/>
      <c r="AB104" s="321"/>
      <c r="AC104" s="321"/>
      <c r="AD104" s="321"/>
      <c r="AE104" s="321"/>
      <c r="AF104" s="321"/>
      <c r="AG104" s="321"/>
      <c r="AH104" s="321"/>
      <c r="AI104" s="321"/>
      <c r="AJ104" s="314" t="s">
        <v>371</v>
      </c>
      <c r="AK104" s="321"/>
      <c r="AL104" s="215" t="s">
        <v>437</v>
      </c>
      <c r="AM104" s="71"/>
      <c r="AN104" s="288"/>
      <c r="AO104" s="288"/>
      <c r="AP104" s="299"/>
    </row>
    <row r="105" spans="1:42" x14ac:dyDescent="0.25">
      <c r="A105" s="537"/>
      <c r="B105" s="510"/>
      <c r="C105" s="527"/>
      <c r="D105" s="286" t="s">
        <v>500</v>
      </c>
      <c r="E105" s="385" t="s">
        <v>336</v>
      </c>
      <c r="F105" s="310" t="s">
        <v>147</v>
      </c>
      <c r="G105" s="321"/>
      <c r="H105" s="321"/>
      <c r="I105" s="321"/>
      <c r="J105" s="321"/>
      <c r="K105" s="321"/>
      <c r="L105" s="321"/>
      <c r="M105" s="321"/>
      <c r="N105" s="321"/>
      <c r="O105" s="333"/>
      <c r="P105" s="321"/>
      <c r="Q105" s="321"/>
      <c r="R105" s="321"/>
      <c r="S105" s="321"/>
      <c r="T105" s="333"/>
      <c r="U105" s="321"/>
      <c r="V105" s="321"/>
      <c r="W105" s="321"/>
      <c r="X105" s="321"/>
      <c r="Y105" s="321"/>
      <c r="Z105" s="312" t="s">
        <v>371</v>
      </c>
      <c r="AA105" s="321"/>
      <c r="AB105" s="314" t="s">
        <v>371</v>
      </c>
      <c r="AC105" s="321"/>
      <c r="AD105" s="321"/>
      <c r="AE105" s="321"/>
      <c r="AF105" s="321"/>
      <c r="AG105" s="321"/>
      <c r="AH105" s="321"/>
      <c r="AI105" s="314" t="s">
        <v>371</v>
      </c>
      <c r="AJ105" s="314" t="s">
        <v>371</v>
      </c>
      <c r="AK105" s="314" t="s">
        <v>371</v>
      </c>
      <c r="AL105" s="209" t="s">
        <v>438</v>
      </c>
      <c r="AM105" s="71"/>
      <c r="AN105" s="288"/>
      <c r="AO105" s="288"/>
      <c r="AP105" s="299"/>
    </row>
    <row r="106" spans="1:42" x14ac:dyDescent="0.25">
      <c r="A106" s="537"/>
      <c r="B106" s="510"/>
      <c r="C106" s="527"/>
      <c r="D106" s="286" t="s">
        <v>501</v>
      </c>
      <c r="E106" s="385" t="s">
        <v>335</v>
      </c>
      <c r="F106" s="287" t="s">
        <v>145</v>
      </c>
      <c r="G106" s="321"/>
      <c r="H106" s="321"/>
      <c r="I106" s="321"/>
      <c r="J106" s="321"/>
      <c r="K106" s="321"/>
      <c r="L106" s="314" t="s">
        <v>371</v>
      </c>
      <c r="M106" s="321"/>
      <c r="N106" s="321"/>
      <c r="O106" s="333"/>
      <c r="P106" s="321"/>
      <c r="Q106" s="321"/>
      <c r="R106" s="321"/>
      <c r="S106" s="321"/>
      <c r="T106" s="333"/>
      <c r="U106" s="321"/>
      <c r="V106" s="321"/>
      <c r="W106" s="321"/>
      <c r="X106" s="321"/>
      <c r="Y106" s="321"/>
      <c r="Z106" s="312" t="s">
        <v>371</v>
      </c>
      <c r="AA106" s="321"/>
      <c r="AB106" s="314" t="s">
        <v>371</v>
      </c>
      <c r="AC106" s="321"/>
      <c r="AD106" s="321"/>
      <c r="AE106" s="321"/>
      <c r="AF106" s="321"/>
      <c r="AG106" s="321"/>
      <c r="AH106" s="321"/>
      <c r="AI106" s="314" t="s">
        <v>371</v>
      </c>
      <c r="AJ106" s="314" t="s">
        <v>371</v>
      </c>
      <c r="AK106" s="314" t="s">
        <v>371</v>
      </c>
      <c r="AL106" s="209" t="s">
        <v>440</v>
      </c>
      <c r="AM106" s="71"/>
      <c r="AN106" s="288"/>
      <c r="AO106" s="288"/>
      <c r="AP106" s="299"/>
    </row>
    <row r="107" spans="1:42" x14ac:dyDescent="0.25">
      <c r="A107" s="537"/>
      <c r="B107" s="510"/>
      <c r="C107" s="527"/>
      <c r="D107" s="286" t="s">
        <v>502</v>
      </c>
      <c r="E107" s="385" t="s">
        <v>336</v>
      </c>
      <c r="F107" s="287" t="s">
        <v>145</v>
      </c>
      <c r="G107" s="321"/>
      <c r="H107" s="321"/>
      <c r="I107" s="321"/>
      <c r="J107" s="321"/>
      <c r="K107" s="321"/>
      <c r="L107" s="321"/>
      <c r="M107" s="321"/>
      <c r="N107" s="321"/>
      <c r="O107" s="333"/>
      <c r="P107" s="321"/>
      <c r="Q107" s="321"/>
      <c r="R107" s="321"/>
      <c r="S107" s="321"/>
      <c r="T107" s="333"/>
      <c r="U107" s="321"/>
      <c r="V107" s="321"/>
      <c r="W107" s="321"/>
      <c r="X107" s="321"/>
      <c r="Y107" s="321"/>
      <c r="Z107" s="312"/>
      <c r="AA107" s="321"/>
      <c r="AB107" s="314" t="s">
        <v>371</v>
      </c>
      <c r="AC107" s="321"/>
      <c r="AD107" s="321"/>
      <c r="AE107" s="321"/>
      <c r="AF107" s="321"/>
      <c r="AG107" s="321"/>
      <c r="AH107" s="321"/>
      <c r="AI107" s="314" t="s">
        <v>371</v>
      </c>
      <c r="AJ107" s="314" t="s">
        <v>371</v>
      </c>
      <c r="AK107" s="314" t="s">
        <v>371</v>
      </c>
      <c r="AL107" s="209" t="s">
        <v>439</v>
      </c>
      <c r="AM107" s="71"/>
      <c r="AN107" s="288"/>
      <c r="AO107" s="288"/>
      <c r="AP107" s="299"/>
    </row>
    <row r="108" spans="1:42" ht="17.25" thickBot="1" x14ac:dyDescent="0.3">
      <c r="A108" s="538"/>
      <c r="B108" s="512"/>
      <c r="C108" s="535"/>
      <c r="D108" s="305" t="s">
        <v>503</v>
      </c>
      <c r="E108" s="389" t="s">
        <v>335</v>
      </c>
      <c r="F108" s="305" t="s">
        <v>147</v>
      </c>
      <c r="G108" s="376"/>
      <c r="H108" s="377"/>
      <c r="I108" s="377"/>
      <c r="J108" s="377"/>
      <c r="K108" s="377"/>
      <c r="L108" s="377"/>
      <c r="M108" s="377"/>
      <c r="N108" s="377"/>
      <c r="O108" s="378"/>
      <c r="P108" s="377"/>
      <c r="Q108" s="377"/>
      <c r="R108" s="377"/>
      <c r="S108" s="377"/>
      <c r="T108" s="378"/>
      <c r="U108" s="377"/>
      <c r="V108" s="377"/>
      <c r="W108" s="377"/>
      <c r="X108" s="377"/>
      <c r="Y108" s="377"/>
      <c r="Z108" s="379"/>
      <c r="AA108" s="377"/>
      <c r="AB108" s="363" t="s">
        <v>371</v>
      </c>
      <c r="AC108" s="377"/>
      <c r="AD108" s="377"/>
      <c r="AE108" s="377"/>
      <c r="AF108" s="377"/>
      <c r="AG108" s="377"/>
      <c r="AH108" s="377"/>
      <c r="AI108" s="363" t="s">
        <v>371</v>
      </c>
      <c r="AJ108" s="363" t="s">
        <v>371</v>
      </c>
      <c r="AK108" s="364" t="s">
        <v>371</v>
      </c>
      <c r="AL108" s="300"/>
      <c r="AM108" s="301"/>
      <c r="AN108" s="302"/>
      <c r="AO108" s="302"/>
      <c r="AP108" s="303"/>
    </row>
    <row r="109" spans="1:42" x14ac:dyDescent="0.25">
      <c r="A109" s="84"/>
      <c r="B109" s="221"/>
      <c r="C109" s="51"/>
      <c r="D109" s="51"/>
      <c r="E109" s="51"/>
      <c r="F109" s="51"/>
    </row>
  </sheetData>
  <autoFilter ref="A3:AQ108" xr:uid="{8AE0F0F2-6414-48E9-BD19-BC8AD29C318A}">
    <filterColumn colId="39" showButton="0"/>
  </autoFilter>
  <mergeCells count="33">
    <mergeCell ref="AM3:AO3"/>
    <mergeCell ref="C52:C57"/>
    <mergeCell ref="B27:B51"/>
    <mergeCell ref="B52:B57"/>
    <mergeCell ref="B10:B21"/>
    <mergeCell ref="G1:AK1"/>
    <mergeCell ref="G2:O2"/>
    <mergeCell ref="P2:T2"/>
    <mergeCell ref="U2:Y2"/>
    <mergeCell ref="Z2:AD2"/>
    <mergeCell ref="AE2:AH2"/>
    <mergeCell ref="AI2:AK2"/>
    <mergeCell ref="B104:B108"/>
    <mergeCell ref="C10:C21"/>
    <mergeCell ref="B22:B26"/>
    <mergeCell ref="C22:C26"/>
    <mergeCell ref="A4:A26"/>
    <mergeCell ref="B4:B9"/>
    <mergeCell ref="C4:C9"/>
    <mergeCell ref="C93:C96"/>
    <mergeCell ref="C97:C103"/>
    <mergeCell ref="C68:C75"/>
    <mergeCell ref="C76:C92"/>
    <mergeCell ref="C58:C67"/>
    <mergeCell ref="C27:C51"/>
    <mergeCell ref="C104:C108"/>
    <mergeCell ref="A68:A108"/>
    <mergeCell ref="A27:A67"/>
    <mergeCell ref="B58:B67"/>
    <mergeCell ref="B68:B75"/>
    <mergeCell ref="B76:B92"/>
    <mergeCell ref="B93:B96"/>
    <mergeCell ref="B97:B103"/>
  </mergeCells>
  <conditionalFormatting sqref="B1:B27 B52 B58 B68 B76:B84 B87:B89 B93 B97 B104 B109:B1048576">
    <cfRule type="containsText" dxfId="10" priority="3" operator="containsText" text="Very Important">
      <formula>NOT(ISERROR(SEARCH("Very Important",B1)))</formula>
    </cfRule>
    <cfRule type="containsText" dxfId="9" priority="4" operator="containsText" text="Extremely Important">
      <formula>NOT(ISERROR(SEARCH("Extremely Important",B1)))</formula>
    </cfRule>
    <cfRule type="containsText" dxfId="8" priority="5" operator="containsText" text="Critically Important / Essential">
      <formula>NOT(ISERROR(SEARCH("Critically Important / Essential",B1)))</formula>
    </cfRule>
  </conditionalFormatting>
  <conditionalFormatting sqref="B4:B108">
    <cfRule type="containsText" dxfId="7" priority="1" operator="containsText" text="Moderately Important">
      <formula>NOT(ISERROR(SEARCH("Moderately Important",B4)))</formula>
    </cfRule>
    <cfRule type="containsText" dxfId="6" priority="2" operator="containsText" text="slightly important">
      <formula>NOT(ISERROR(SEARCH("slightly important",B4)))</formula>
    </cfRule>
  </conditionalFormatting>
  <pageMargins left="0.25" right="0.25" top="0.75" bottom="0.75" header="0.3" footer="0.3"/>
  <pageSetup scale="23" orientation="portrait" horizontalDpi="1200" verticalDpi="1200"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D14B33EF-FD06-4210-BFCA-A64C94749AAB}">
          <x14:formula1>
            <xm:f>'Response Options'!$H$5:$H$8</xm:f>
          </x14:formula1>
          <xm:sqref>E4:E108</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921EA7-A31A-4D7C-8DC5-2FD4818E2FC3}">
  <dimension ref="B4:Q26"/>
  <sheetViews>
    <sheetView tabSelected="1" topLeftCell="A6" zoomScale="80" zoomScaleNormal="80" workbookViewId="0">
      <selection activeCell="M26" sqref="M26"/>
    </sheetView>
  </sheetViews>
  <sheetFormatPr defaultRowHeight="15" x14ac:dyDescent="0.25"/>
  <cols>
    <col min="3" max="3" width="31.42578125" customWidth="1"/>
    <col min="4" max="4" width="53.42578125" customWidth="1"/>
    <col min="5" max="5" width="28.5703125" customWidth="1"/>
    <col min="6" max="6" width="16.42578125" customWidth="1"/>
    <col min="7" max="7" width="9.42578125" customWidth="1"/>
    <col min="8" max="8" width="12.140625" customWidth="1"/>
    <col min="9" max="11" width="12.7109375" customWidth="1"/>
    <col min="12" max="12" width="11.42578125" customWidth="1"/>
    <col min="13" max="13" width="18.140625" customWidth="1"/>
    <col min="14" max="14" width="9.140625" customWidth="1"/>
    <col min="15" max="17" width="9.42578125" bestFit="1" customWidth="1"/>
  </cols>
  <sheetData>
    <row r="4" spans="2:15" ht="18" x14ac:dyDescent="0.25">
      <c r="B4" s="66"/>
      <c r="C4" s="67"/>
      <c r="D4" s="68"/>
      <c r="E4" s="68"/>
      <c r="F4" s="68"/>
      <c r="G4" s="68"/>
      <c r="H4" s="68"/>
      <c r="I4" s="68"/>
      <c r="J4" s="68"/>
      <c r="K4" s="68"/>
      <c r="L4" s="68"/>
      <c r="M4" s="55"/>
      <c r="N4" s="11"/>
    </row>
    <row r="5" spans="2:15" ht="16.5" x14ac:dyDescent="0.25">
      <c r="B5" s="70"/>
      <c r="C5" s="2" t="s">
        <v>505</v>
      </c>
      <c r="D5" s="1"/>
      <c r="E5" s="1"/>
      <c r="F5" s="1"/>
      <c r="G5" s="1"/>
      <c r="H5" s="1"/>
      <c r="I5" s="1"/>
      <c r="J5" s="1"/>
      <c r="K5" s="1"/>
      <c r="L5" s="1"/>
      <c r="N5" s="88"/>
    </row>
    <row r="6" spans="2:15" ht="16.5" x14ac:dyDescent="0.25">
      <c r="B6" s="70"/>
      <c r="C6" s="2"/>
      <c r="D6" s="1"/>
      <c r="E6" s="1"/>
      <c r="F6" s="1"/>
      <c r="G6" s="1"/>
      <c r="H6" s="1"/>
      <c r="I6" s="1"/>
      <c r="J6" s="1"/>
      <c r="K6" s="1"/>
      <c r="L6" s="1"/>
      <c r="N6" s="88"/>
    </row>
    <row r="7" spans="2:15" ht="15.75" x14ac:dyDescent="0.25">
      <c r="B7" s="72"/>
      <c r="C7" s="282" t="s">
        <v>393</v>
      </c>
      <c r="D7" s="282"/>
      <c r="E7" s="282"/>
      <c r="F7" s="282"/>
      <c r="G7" s="282"/>
      <c r="H7" s="282"/>
      <c r="I7" s="282"/>
      <c r="J7" s="282"/>
      <c r="K7" s="282"/>
      <c r="L7" s="282"/>
      <c r="N7" s="88"/>
    </row>
    <row r="8" spans="2:15" ht="15.75" x14ac:dyDescent="0.25">
      <c r="B8" s="72"/>
      <c r="C8" s="416" t="s">
        <v>389</v>
      </c>
      <c r="D8" s="416"/>
      <c r="E8" s="416"/>
      <c r="F8" s="230"/>
      <c r="G8" s="230"/>
      <c r="H8" s="230"/>
      <c r="I8" s="230"/>
      <c r="J8" s="230"/>
      <c r="K8" s="230"/>
      <c r="L8" s="230"/>
      <c r="N8" s="88"/>
    </row>
    <row r="9" spans="2:15" ht="16.5" thickBot="1" x14ac:dyDescent="0.3">
      <c r="B9" s="72"/>
      <c r="C9" s="4"/>
      <c r="D9" s="4"/>
      <c r="E9" s="4"/>
      <c r="F9" s="4"/>
      <c r="G9" s="4"/>
      <c r="H9" s="4"/>
      <c r="I9" s="4"/>
      <c r="J9" s="4"/>
      <c r="K9" s="4"/>
      <c r="L9" s="4"/>
      <c r="N9" s="88"/>
    </row>
    <row r="10" spans="2:15" ht="61.5" customHeight="1" thickBot="1" x14ac:dyDescent="0.3">
      <c r="B10" s="70"/>
      <c r="C10" s="212" t="s">
        <v>304</v>
      </c>
      <c r="D10" s="212" t="s">
        <v>305</v>
      </c>
      <c r="E10" s="390" t="s">
        <v>504</v>
      </c>
      <c r="F10" s="404" t="s">
        <v>507</v>
      </c>
      <c r="G10" s="393" t="s">
        <v>506</v>
      </c>
      <c r="H10" s="405" t="s">
        <v>509</v>
      </c>
      <c r="I10" s="405" t="s">
        <v>508</v>
      </c>
      <c r="J10" s="405" t="s">
        <v>512</v>
      </c>
      <c r="K10" s="398" t="s">
        <v>510</v>
      </c>
      <c r="L10" s="398" t="s">
        <v>511</v>
      </c>
      <c r="M10" s="396" t="s">
        <v>513</v>
      </c>
      <c r="N10" s="88"/>
    </row>
    <row r="11" spans="2:15" ht="16.5" x14ac:dyDescent="0.25">
      <c r="B11" s="70"/>
      <c r="C11" s="408" t="s">
        <v>313</v>
      </c>
      <c r="D11" s="75" t="s">
        <v>314</v>
      </c>
      <c r="E11" s="391" t="str">
        <f>'Guideline Prioritization'!O12</f>
        <v>Critically Important / Essential</v>
      </c>
      <c r="F11" s="406">
        <f>_xlfn.XLOOKUP(E11,'Response Options'!$D$5:$D$10,'Response Options'!$E$5:$E$10)</f>
        <v>5</v>
      </c>
      <c r="G11" s="392">
        <f>COUNTIF('Design alignement tool'!E4:E9,"&lt;&gt;Not Applicable")</f>
        <v>6</v>
      </c>
      <c r="H11" s="406">
        <f>COUNTIF('Design alignement tool'!E4:E9, "yes")</f>
        <v>3</v>
      </c>
      <c r="I11" s="406">
        <f>COUNTIF('Design alignement tool'!E4:E9, "Maybe")</f>
        <v>2</v>
      </c>
      <c r="J11" s="406">
        <f>COUNTIF('Design alignement tool'!E4:E9,"No")</f>
        <v>1</v>
      </c>
      <c r="K11" s="392">
        <f>(G11)*F11</f>
        <v>30</v>
      </c>
      <c r="L11" s="392">
        <f>(H11*F11)</f>
        <v>15</v>
      </c>
      <c r="M11" s="394">
        <f>L11/K11</f>
        <v>0.5</v>
      </c>
      <c r="N11" s="88"/>
    </row>
    <row r="12" spans="2:15" ht="16.5" x14ac:dyDescent="0.25">
      <c r="B12" s="70"/>
      <c r="C12" s="408"/>
      <c r="D12" s="75" t="s">
        <v>315</v>
      </c>
      <c r="E12" s="391" t="str">
        <f>'Guideline Prioritization'!O13</f>
        <v>Very Important</v>
      </c>
      <c r="F12" s="406">
        <f>_xlfn.XLOOKUP(E12,'Response Options'!$D$5:$D$10,'Response Options'!$E$5:$E$10)</f>
        <v>3</v>
      </c>
      <c r="G12" s="392">
        <f>COUNTIF('Design alignement tool'!E10:E21,"&lt;&gt;Not Applicable")</f>
        <v>12</v>
      </c>
      <c r="H12" s="406">
        <f>COUNTIF('Design alignement tool'!E10:E21, "yes")</f>
        <v>11</v>
      </c>
      <c r="I12" s="406">
        <f>COUNTIF('Design alignement tool'!E10:E21, "Maybe")</f>
        <v>1</v>
      </c>
      <c r="J12" s="406">
        <f>COUNTIF('Design alignement tool'!E10:E21, "No")</f>
        <v>0</v>
      </c>
      <c r="K12" s="392">
        <f t="shared" ref="K12:K21" si="0">(G12)*F12</f>
        <v>36</v>
      </c>
      <c r="L12" s="392">
        <f t="shared" ref="L12:L21" si="1">(H12*F12)</f>
        <v>33</v>
      </c>
      <c r="M12" s="394">
        <f t="shared" ref="M12:M21" si="2">L12/K12</f>
        <v>0.91666666666666663</v>
      </c>
      <c r="N12" s="88"/>
      <c r="O12" s="397"/>
    </row>
    <row r="13" spans="2:15" ht="16.5" x14ac:dyDescent="0.25">
      <c r="B13" s="70"/>
      <c r="C13" s="408"/>
      <c r="D13" s="75" t="s">
        <v>395</v>
      </c>
      <c r="E13" s="391" t="str">
        <f>'Guideline Prioritization'!O14</f>
        <v>Moderately Important</v>
      </c>
      <c r="F13" s="406">
        <f>_xlfn.XLOOKUP(E13,'Response Options'!$D$5:$D$10,'Response Options'!$E$5:$E$10)</f>
        <v>2</v>
      </c>
      <c r="G13" s="392">
        <f>COUNTIF('Design alignement tool'!E22:E26,"&lt;&gt;Not Applicable")</f>
        <v>5</v>
      </c>
      <c r="H13" s="406">
        <f>COUNTIF('Design alignement tool'!E22:E26, "yes")</f>
        <v>4</v>
      </c>
      <c r="I13" s="406">
        <f>COUNTIF('Design alignement tool'!E22:E26, "Maybe")</f>
        <v>0</v>
      </c>
      <c r="J13" s="406">
        <f>COUNTIF('Design alignement tool'!E22:E26, "No")</f>
        <v>1</v>
      </c>
      <c r="K13" s="392">
        <f t="shared" si="0"/>
        <v>10</v>
      </c>
      <c r="L13" s="392">
        <f t="shared" si="1"/>
        <v>8</v>
      </c>
      <c r="M13" s="394">
        <f t="shared" si="2"/>
        <v>0.8</v>
      </c>
      <c r="N13" s="88"/>
    </row>
    <row r="14" spans="2:15" ht="16.5" x14ac:dyDescent="0.25">
      <c r="B14" s="70"/>
      <c r="C14" s="409" t="s">
        <v>316</v>
      </c>
      <c r="D14" s="77" t="s">
        <v>317</v>
      </c>
      <c r="E14" s="391" t="str">
        <f>'Guideline Prioritization'!O15</f>
        <v>Very Important</v>
      </c>
      <c r="F14" s="406">
        <f>_xlfn.XLOOKUP(E14,'Response Options'!$D$5:$D$10,'Response Options'!$E$5:$E$10)</f>
        <v>3</v>
      </c>
      <c r="G14" s="392">
        <f>COUNTIF('Design alignement tool'!E27:E51,"&lt;&gt;Not Applicable")</f>
        <v>24</v>
      </c>
      <c r="H14" s="406">
        <f>COUNTIF('Design alignement tool'!E27:E51, "yes")</f>
        <v>23</v>
      </c>
      <c r="I14" s="406">
        <f>COUNTIF('Design alignement tool'!E27:E51, "Maybe")</f>
        <v>1</v>
      </c>
      <c r="J14" s="406">
        <f>COUNTIF('Design alignement tool'!E27:E51, "No")</f>
        <v>0</v>
      </c>
      <c r="K14" s="392">
        <f t="shared" si="0"/>
        <v>72</v>
      </c>
      <c r="L14" s="392">
        <f t="shared" si="1"/>
        <v>69</v>
      </c>
      <c r="M14" s="394">
        <f t="shared" si="2"/>
        <v>0.95833333333333337</v>
      </c>
      <c r="N14" s="88"/>
    </row>
    <row r="15" spans="2:15" ht="16.5" x14ac:dyDescent="0.25">
      <c r="B15" s="70"/>
      <c r="C15" s="410"/>
      <c r="D15" s="77" t="s">
        <v>318</v>
      </c>
      <c r="E15" s="391" t="str">
        <f>'Guideline Prioritization'!O16</f>
        <v>Slightly important</v>
      </c>
      <c r="F15" s="406">
        <f>_xlfn.XLOOKUP(E15,'Response Options'!$D$5:$D$10,'Response Options'!$E$5:$E$10)</f>
        <v>1</v>
      </c>
      <c r="G15" s="392">
        <f>COUNTIF('Design alignement tool'!E52:E57,"&lt;&gt;Not Applicable")</f>
        <v>6</v>
      </c>
      <c r="H15" s="406">
        <f>COUNTIF('Design alignement tool'!E52:E57, "yes")</f>
        <v>5</v>
      </c>
      <c r="I15" s="406">
        <f>COUNTIF('Design alignement tool'!E52:E57, "Maybe")</f>
        <v>0</v>
      </c>
      <c r="J15" s="406">
        <f>COUNTIF('Design alignement tool'!E52:E57, "No")</f>
        <v>1</v>
      </c>
      <c r="K15" s="392">
        <f t="shared" si="0"/>
        <v>6</v>
      </c>
      <c r="L15" s="392">
        <f t="shared" si="1"/>
        <v>5</v>
      </c>
      <c r="M15" s="394">
        <f t="shared" si="2"/>
        <v>0.83333333333333337</v>
      </c>
      <c r="N15" s="88"/>
    </row>
    <row r="16" spans="2:15" ht="16.5" x14ac:dyDescent="0.25">
      <c r="B16" s="70"/>
      <c r="C16" s="410"/>
      <c r="D16" s="77" t="s">
        <v>319</v>
      </c>
      <c r="E16" s="391" t="str">
        <f>'Guideline Prioritization'!O17</f>
        <v>Moderately Important</v>
      </c>
      <c r="F16" s="406">
        <f>_xlfn.XLOOKUP(E16,'Response Options'!$D$5:$D$10,'Response Options'!$E$5:$E$10)</f>
        <v>2</v>
      </c>
      <c r="G16" s="392">
        <f>COUNTIF('Design alignement tool'!E58:E67,"&lt;&gt;Not Applicable")</f>
        <v>9</v>
      </c>
      <c r="H16" s="406">
        <f>COUNTIF('Design alignement tool'!E58:E67, "yes")</f>
        <v>8</v>
      </c>
      <c r="I16" s="406">
        <f>COUNTIF('Design alignement tool'!E58:E67, "Maybe")</f>
        <v>0</v>
      </c>
      <c r="J16" s="406">
        <f>COUNTIF('Design alignement tool'!E58:E67, "No")</f>
        <v>1</v>
      </c>
      <c r="K16" s="392">
        <f t="shared" si="0"/>
        <v>18</v>
      </c>
      <c r="L16" s="392">
        <f t="shared" si="1"/>
        <v>16</v>
      </c>
      <c r="M16" s="394">
        <f t="shared" si="2"/>
        <v>0.88888888888888884</v>
      </c>
      <c r="N16" s="88"/>
    </row>
    <row r="17" spans="2:17" ht="16.5" x14ac:dyDescent="0.25">
      <c r="B17" s="70"/>
      <c r="C17" s="411" t="s">
        <v>322</v>
      </c>
      <c r="D17" s="79" t="s">
        <v>323</v>
      </c>
      <c r="E17" s="391" t="str">
        <f>'Guideline Prioritization'!O20</f>
        <v>Slightly important</v>
      </c>
      <c r="F17" s="406">
        <f>_xlfn.XLOOKUP(E17,'Response Options'!$D$5:$D$10,'Response Options'!$E$5:$E$10)</f>
        <v>1</v>
      </c>
      <c r="G17" s="392">
        <f>COUNTIF('Design alignement tool'!E68:E75,"&lt;&gt;Not Applicable")</f>
        <v>8</v>
      </c>
      <c r="H17" s="406">
        <f>COUNTIF('Design alignement tool'!E68:E75, "yes")</f>
        <v>7</v>
      </c>
      <c r="I17" s="406">
        <f>COUNTIF('Design alignement tool'!E68:E75, "Maybe")</f>
        <v>0</v>
      </c>
      <c r="J17" s="406">
        <f>COUNTIF('Design alignement tool'!E68:E75, "No")</f>
        <v>1</v>
      </c>
      <c r="K17" s="392">
        <f t="shared" si="0"/>
        <v>8</v>
      </c>
      <c r="L17" s="392">
        <f t="shared" si="1"/>
        <v>7</v>
      </c>
      <c r="M17" s="394">
        <f t="shared" si="2"/>
        <v>0.875</v>
      </c>
      <c r="N17" s="88"/>
    </row>
    <row r="18" spans="2:17" ht="16.5" x14ac:dyDescent="0.25">
      <c r="B18" s="70"/>
      <c r="C18" s="412"/>
      <c r="D18" s="79" t="s">
        <v>324</v>
      </c>
      <c r="E18" s="391" t="str">
        <f>'Guideline Prioritization'!O21</f>
        <v>Very Important</v>
      </c>
      <c r="F18" s="406">
        <f>_xlfn.XLOOKUP(E18,'Response Options'!$D$5:$D$10,'Response Options'!$E$5:$E$10)</f>
        <v>3</v>
      </c>
      <c r="G18" s="392">
        <f>COUNTIF('Design alignement tool'!E76:E92,"&lt;&gt;Not Applicable")</f>
        <v>17</v>
      </c>
      <c r="H18" s="406">
        <f>COUNTIF('Design alignement tool'!E76:E92, "yes")</f>
        <v>16</v>
      </c>
      <c r="I18" s="406">
        <f>COUNTIF('Design alignement tool'!E76:E92, "Maybe")</f>
        <v>0</v>
      </c>
      <c r="J18" s="406">
        <f>COUNTIF('Design alignement tool'!E76:E92, "No")</f>
        <v>1</v>
      </c>
      <c r="K18" s="392">
        <f t="shared" si="0"/>
        <v>51</v>
      </c>
      <c r="L18" s="392">
        <f t="shared" si="1"/>
        <v>48</v>
      </c>
      <c r="M18" s="394">
        <f t="shared" si="2"/>
        <v>0.94117647058823528</v>
      </c>
      <c r="N18" s="88"/>
    </row>
    <row r="19" spans="2:17" ht="16.5" x14ac:dyDescent="0.25">
      <c r="B19" s="70"/>
      <c r="C19" s="412"/>
      <c r="D19" s="79" t="s">
        <v>325</v>
      </c>
      <c r="E19" s="391" t="str">
        <f>'Guideline Prioritization'!O22</f>
        <v>Critically Important / Essential</v>
      </c>
      <c r="F19" s="406">
        <f>_xlfn.XLOOKUP(E19,'Response Options'!$D$5:$D$10,'Response Options'!$E$5:$E$10)</f>
        <v>5</v>
      </c>
      <c r="G19" s="392">
        <f>COUNTIF('Design alignement tool'!E93:E96,"&lt;&gt;Not Applicable")</f>
        <v>4</v>
      </c>
      <c r="H19" s="406">
        <f>COUNTIF('Design alignement tool'!E93:E96, "yes")</f>
        <v>3</v>
      </c>
      <c r="I19" s="406">
        <f>COUNTIF('Design alignement tool'!E93:E96, "Maybe")</f>
        <v>0</v>
      </c>
      <c r="J19" s="406">
        <f>COUNTIF('Design alignement tool'!E76:E92, "No")</f>
        <v>1</v>
      </c>
      <c r="K19" s="392">
        <f t="shared" si="0"/>
        <v>20</v>
      </c>
      <c r="L19" s="392">
        <f t="shared" si="1"/>
        <v>15</v>
      </c>
      <c r="M19" s="394">
        <f t="shared" si="2"/>
        <v>0.75</v>
      </c>
      <c r="N19" s="88"/>
    </row>
    <row r="20" spans="2:17" ht="16.5" x14ac:dyDescent="0.25">
      <c r="B20" s="70"/>
      <c r="C20" s="412"/>
      <c r="D20" s="79" t="s">
        <v>326</v>
      </c>
      <c r="E20" s="391" t="str">
        <f>'Guideline Prioritization'!O23</f>
        <v>Moderately Important</v>
      </c>
      <c r="F20" s="406">
        <f>_xlfn.XLOOKUP(E20,'Response Options'!$D$5:$D$10,'Response Options'!$E$5:$E$10)</f>
        <v>2</v>
      </c>
      <c r="G20" s="392">
        <f>COUNTIF('Design alignement tool'!E97:E103,"&lt;&gt;Not Applicable")</f>
        <v>7</v>
      </c>
      <c r="H20" s="406">
        <f>COUNTIF('Design alignement tool'!E97:E103, "yes")</f>
        <v>7</v>
      </c>
      <c r="I20" s="406">
        <f>COUNTIF('Design alignement tool'!E97:E103, "Maybe")</f>
        <v>0</v>
      </c>
      <c r="J20" s="406">
        <f>COUNTIF('Design alignement tool'!E97:E103, "No")</f>
        <v>0</v>
      </c>
      <c r="K20" s="392">
        <f t="shared" si="0"/>
        <v>14</v>
      </c>
      <c r="L20" s="392">
        <f t="shared" si="1"/>
        <v>14</v>
      </c>
      <c r="M20" s="394">
        <f t="shared" si="2"/>
        <v>1</v>
      </c>
      <c r="N20" s="88"/>
    </row>
    <row r="21" spans="2:17" ht="16.5" x14ac:dyDescent="0.25">
      <c r="B21" s="70"/>
      <c r="C21" s="413"/>
      <c r="D21" s="79" t="s">
        <v>327</v>
      </c>
      <c r="E21" s="391" t="str">
        <f>'Guideline Prioritization'!O24</f>
        <v>Moderately Important</v>
      </c>
      <c r="F21" s="401">
        <f>_xlfn.XLOOKUP(E21,'Response Options'!$D$5:$D$10,'Response Options'!$E$5:$E$10)</f>
        <v>2</v>
      </c>
      <c r="G21" s="402">
        <f>COUNTIF('Design alignement tool'!E104:E108,"&lt;&gt;Not Applicable")</f>
        <v>5</v>
      </c>
      <c r="H21" s="401">
        <f>COUNTIF('Design alignement tool'!E104:E108, "yes")</f>
        <v>3</v>
      </c>
      <c r="I21" s="401">
        <f>COUNTIF('Design alignement tool'!E104:E108, "Maybe")</f>
        <v>0</v>
      </c>
      <c r="J21" s="401">
        <f>COUNTIF('Design alignement tool'!E104:E108, "No")</f>
        <v>2</v>
      </c>
      <c r="K21" s="402">
        <f t="shared" si="0"/>
        <v>10</v>
      </c>
      <c r="L21" s="402">
        <f t="shared" si="1"/>
        <v>6</v>
      </c>
      <c r="M21" s="403">
        <f t="shared" si="2"/>
        <v>0.6</v>
      </c>
      <c r="N21" s="88"/>
    </row>
    <row r="22" spans="2:17" ht="33" hidden="1" x14ac:dyDescent="0.25">
      <c r="B22" s="70"/>
      <c r="C22" s="414" t="s">
        <v>328</v>
      </c>
      <c r="D22" s="399" t="s">
        <v>396</v>
      </c>
      <c r="E22" s="400" t="str">
        <f>'Guideline Prioritization'!O25</f>
        <v>Moderately Important</v>
      </c>
      <c r="F22" s="406">
        <f>_xlfn.XLOOKUP(E22,'Response Options'!$D$5:$D$10,'Response Options'!$E$5:$E$10)</f>
        <v>2</v>
      </c>
      <c r="G22" s="406"/>
      <c r="H22" s="406"/>
      <c r="I22" s="406"/>
      <c r="J22" s="406"/>
      <c r="K22" s="392">
        <f t="shared" ref="K22:K23" si="3">(G22-I22)*F22</f>
        <v>0</v>
      </c>
      <c r="L22" s="406"/>
      <c r="M22" s="104"/>
      <c r="N22" s="88"/>
    </row>
    <row r="23" spans="2:17" ht="16.5" hidden="1" x14ac:dyDescent="0.25">
      <c r="B23" s="70"/>
      <c r="C23" s="415"/>
      <c r="D23" s="81" t="s">
        <v>329</v>
      </c>
      <c r="E23" s="391" t="str">
        <f>'Guideline Prioritization'!O26</f>
        <v>Critically Important / Essential</v>
      </c>
      <c r="F23" s="406">
        <f>_xlfn.XLOOKUP(E23,'Response Options'!$D$5:$D$10,'Response Options'!$E$5:$E$10)</f>
        <v>5</v>
      </c>
      <c r="G23" s="406"/>
      <c r="H23" s="406"/>
      <c r="I23" s="406"/>
      <c r="J23" s="406"/>
      <c r="K23" s="392">
        <f t="shared" si="3"/>
        <v>0</v>
      </c>
      <c r="L23" s="406"/>
      <c r="M23" s="104"/>
      <c r="N23" s="88"/>
    </row>
    <row r="24" spans="2:17" ht="16.5" x14ac:dyDescent="0.25">
      <c r="B24" s="83"/>
      <c r="C24" s="84"/>
      <c r="D24" s="84"/>
      <c r="E24" s="84"/>
      <c r="F24" s="84"/>
      <c r="G24" s="84"/>
      <c r="H24" s="84"/>
      <c r="I24" s="84"/>
      <c r="J24" s="84"/>
      <c r="K24" s="84"/>
      <c r="L24" s="84"/>
      <c r="M24" s="407"/>
      <c r="N24" s="120"/>
      <c r="O24" s="104"/>
      <c r="P24" s="104"/>
      <c r="Q24" s="104"/>
    </row>
    <row r="26" spans="2:17" x14ac:dyDescent="0.25">
      <c r="O26" s="104"/>
      <c r="P26" s="104"/>
      <c r="Q26" s="104"/>
    </row>
  </sheetData>
  <mergeCells count="5">
    <mergeCell ref="C11:C13"/>
    <mergeCell ref="C14:C16"/>
    <mergeCell ref="C17:C21"/>
    <mergeCell ref="C22:C23"/>
    <mergeCell ref="C8:E8"/>
  </mergeCells>
  <conditionalFormatting sqref="D1:D1048576">
    <cfRule type="containsText" dxfId="5" priority="3" operator="containsText" text="Critically Important / Essential">
      <formula>NOT(ISERROR(SEARCH("Critically Important / Essential",#REF!)))</formula>
    </cfRule>
  </conditionalFormatting>
  <conditionalFormatting sqref="E11:L23">
    <cfRule type="containsText" dxfId="4" priority="1" operator="containsText" text="Moderately Important">
      <formula>NOT(ISERROR(SEARCH("Moderately Important",E11)))</formula>
    </cfRule>
    <cfRule type="containsText" dxfId="3" priority="2" operator="containsText" text="Slightly important">
      <formula>NOT(ISERROR(SEARCH("Slightly important",E11)))</formula>
    </cfRule>
    <cfRule type="containsText" dxfId="2" priority="4" operator="containsText" text="Very Important">
      <formula>NOT(ISERROR(SEARCH("Very Important",E11)))</formula>
    </cfRule>
    <cfRule type="containsText" dxfId="1" priority="5" operator="containsText" text="Extremely Important">
      <formula>NOT(ISERROR(SEARCH("Extremely Important",E11)))</formula>
    </cfRule>
    <cfRule type="containsText" dxfId="0" priority="6" operator="containsText" text="Critically Important / Essential">
      <formula>NOT(ISERROR(SEARCH("Critically Important / Essential",E11)))</formula>
    </cfRule>
  </conditionalFormatting>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C1EDA-2088-4D9B-AA2D-D03CF152DB0D}">
  <dimension ref="A2:I28"/>
  <sheetViews>
    <sheetView workbookViewId="0">
      <selection activeCell="D5" sqref="D5:D10"/>
    </sheetView>
  </sheetViews>
  <sheetFormatPr defaultRowHeight="15" x14ac:dyDescent="0.25"/>
  <cols>
    <col min="2" max="2" width="29.85546875" customWidth="1"/>
    <col min="4" max="4" width="24.5703125" customWidth="1"/>
    <col min="5" max="5" width="8.7109375" customWidth="1"/>
    <col min="6" max="6" width="0" hidden="1" customWidth="1"/>
    <col min="8" max="8" width="30.140625" customWidth="1"/>
    <col min="11" max="11" width="17.5703125" customWidth="1"/>
    <col min="12" max="12" width="59.28515625" customWidth="1"/>
  </cols>
  <sheetData>
    <row r="2" spans="1:9" x14ac:dyDescent="0.25">
      <c r="A2" t="s">
        <v>338</v>
      </c>
      <c r="D2" t="s">
        <v>339</v>
      </c>
      <c r="H2" t="s">
        <v>359</v>
      </c>
    </row>
    <row r="3" spans="1:9" x14ac:dyDescent="0.25">
      <c r="F3" t="s">
        <v>340</v>
      </c>
    </row>
    <row r="4" spans="1:9" ht="16.5" x14ac:dyDescent="0.3">
      <c r="A4" s="9">
        <v>3</v>
      </c>
      <c r="B4" s="9" t="s">
        <v>341</v>
      </c>
      <c r="D4" s="548" t="s">
        <v>342</v>
      </c>
      <c r="E4" s="549"/>
      <c r="H4" s="548" t="s">
        <v>342</v>
      </c>
      <c r="I4" s="549"/>
    </row>
    <row r="5" spans="1:9" ht="16.5" x14ac:dyDescent="0.3">
      <c r="B5" s="9" t="s">
        <v>343</v>
      </c>
      <c r="D5" s="87" t="s">
        <v>62</v>
      </c>
      <c r="E5" s="86">
        <v>5</v>
      </c>
      <c r="F5">
        <v>6</v>
      </c>
      <c r="H5" s="87" t="s">
        <v>335</v>
      </c>
      <c r="I5" s="86">
        <v>1</v>
      </c>
    </row>
    <row r="6" spans="1:9" ht="16.5" x14ac:dyDescent="0.3">
      <c r="D6" s="87" t="s">
        <v>89</v>
      </c>
      <c r="E6" s="86">
        <v>4</v>
      </c>
      <c r="F6">
        <v>5</v>
      </c>
      <c r="H6" s="87" t="s">
        <v>336</v>
      </c>
      <c r="I6" s="86">
        <v>-1</v>
      </c>
    </row>
    <row r="7" spans="1:9" ht="16.5" x14ac:dyDescent="0.3">
      <c r="A7" s="9">
        <v>4</v>
      </c>
      <c r="B7" s="9" t="s">
        <v>344</v>
      </c>
      <c r="D7" s="87" t="s">
        <v>66</v>
      </c>
      <c r="E7" s="86">
        <v>3</v>
      </c>
      <c r="F7">
        <v>4</v>
      </c>
      <c r="H7" s="87" t="s">
        <v>334</v>
      </c>
      <c r="I7" s="86">
        <v>0</v>
      </c>
    </row>
    <row r="8" spans="1:9" ht="16.5" x14ac:dyDescent="0.3">
      <c r="B8" s="9" t="s">
        <v>345</v>
      </c>
      <c r="D8" s="87" t="s">
        <v>92</v>
      </c>
      <c r="E8" s="86">
        <v>2</v>
      </c>
      <c r="F8">
        <v>3</v>
      </c>
      <c r="H8" s="87" t="s">
        <v>337</v>
      </c>
      <c r="I8" s="86">
        <v>0</v>
      </c>
    </row>
    <row r="9" spans="1:9" ht="16.5" x14ac:dyDescent="0.3">
      <c r="B9" s="9" t="s">
        <v>346</v>
      </c>
      <c r="D9" s="87" t="s">
        <v>111</v>
      </c>
      <c r="E9" s="86">
        <v>1</v>
      </c>
      <c r="F9">
        <v>2</v>
      </c>
    </row>
    <row r="10" spans="1:9" ht="16.5" x14ac:dyDescent="0.3">
      <c r="D10" s="87" t="s">
        <v>86</v>
      </c>
      <c r="E10" s="86">
        <v>0</v>
      </c>
      <c r="F10">
        <v>1</v>
      </c>
    </row>
    <row r="11" spans="1:9" x14ac:dyDescent="0.25">
      <c r="A11" s="9" t="s">
        <v>347</v>
      </c>
      <c r="B11" s="9" t="s">
        <v>335</v>
      </c>
    </row>
    <row r="12" spans="1:9" ht="16.5" x14ac:dyDescent="0.3">
      <c r="B12" s="9" t="s">
        <v>336</v>
      </c>
      <c r="D12" s="99" t="s">
        <v>348</v>
      </c>
      <c r="H12" t="s">
        <v>366</v>
      </c>
    </row>
    <row r="14" spans="1:9" ht="15.75" customHeight="1" x14ac:dyDescent="0.25">
      <c r="A14" s="9" t="s">
        <v>349</v>
      </c>
      <c r="B14" s="9" t="s">
        <v>350</v>
      </c>
      <c r="D14" s="93" t="s">
        <v>63</v>
      </c>
      <c r="E14" s="9">
        <v>6</v>
      </c>
      <c r="H14" s="9" t="s">
        <v>145</v>
      </c>
      <c r="I14" t="s">
        <v>296</v>
      </c>
    </row>
    <row r="15" spans="1:9" ht="15.75" x14ac:dyDescent="0.25">
      <c r="B15" s="9" t="s">
        <v>351</v>
      </c>
      <c r="D15" s="94" t="s">
        <v>68</v>
      </c>
      <c r="E15" s="9">
        <v>5</v>
      </c>
      <c r="H15" s="9" t="s">
        <v>146</v>
      </c>
      <c r="I15" t="s">
        <v>298</v>
      </c>
    </row>
    <row r="16" spans="1:9" ht="15.75" x14ac:dyDescent="0.25">
      <c r="B16" s="9" t="s">
        <v>352</v>
      </c>
      <c r="D16" s="95" t="s">
        <v>70</v>
      </c>
      <c r="E16" s="9">
        <v>4</v>
      </c>
      <c r="H16" s="9" t="s">
        <v>147</v>
      </c>
      <c r="I16" t="s">
        <v>300</v>
      </c>
    </row>
    <row r="17" spans="2:9" ht="15.75" x14ac:dyDescent="0.25">
      <c r="B17" s="9" t="s">
        <v>353</v>
      </c>
      <c r="D17" s="96" t="s">
        <v>74</v>
      </c>
      <c r="E17" s="9">
        <v>3</v>
      </c>
      <c r="H17" s="9" t="s">
        <v>432</v>
      </c>
      <c r="I17" t="s">
        <v>302</v>
      </c>
    </row>
    <row r="18" spans="2:9" ht="15.75" x14ac:dyDescent="0.25">
      <c r="B18" s="9" t="s">
        <v>354</v>
      </c>
      <c r="D18" s="97" t="s">
        <v>79</v>
      </c>
      <c r="E18" s="9">
        <v>2</v>
      </c>
    </row>
    <row r="19" spans="2:9" ht="15.75" x14ac:dyDescent="0.25">
      <c r="B19" s="9" t="s">
        <v>355</v>
      </c>
      <c r="D19" s="98" t="s">
        <v>83</v>
      </c>
      <c r="E19" s="9">
        <v>1</v>
      </c>
    </row>
    <row r="20" spans="2:9" x14ac:dyDescent="0.25">
      <c r="B20" s="9" t="s">
        <v>356</v>
      </c>
    </row>
    <row r="21" spans="2:9" x14ac:dyDescent="0.25">
      <c r="B21" s="9" t="s">
        <v>357</v>
      </c>
    </row>
    <row r="22" spans="2:9" x14ac:dyDescent="0.25">
      <c r="B22" s="9" t="s">
        <v>358</v>
      </c>
    </row>
    <row r="23" spans="2:9" ht="23.25" customHeight="1" x14ac:dyDescent="0.25"/>
    <row r="24" spans="2:9" ht="60.75" customHeight="1" x14ac:dyDescent="0.25"/>
    <row r="25" spans="2:9" ht="60.75" customHeight="1" x14ac:dyDescent="0.25"/>
    <row r="26" spans="2:9" ht="60.75" customHeight="1" x14ac:dyDescent="0.25"/>
    <row r="27" spans="2:9" ht="60.75" customHeight="1" x14ac:dyDescent="0.25">
      <c r="E27" t="s">
        <v>385</v>
      </c>
    </row>
    <row r="28" spans="2:9" ht="60.75" customHeight="1" x14ac:dyDescent="0.25"/>
  </sheetData>
  <mergeCells count="2">
    <mergeCell ref="D4:E4"/>
    <mergeCell ref="H4:I4"/>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Pre-planning &amp; Programming</vt:lpstr>
      <vt:lpstr>Outcome Priotization</vt:lpstr>
      <vt:lpstr>Policy &amp; Process-based Design</vt:lpstr>
      <vt:lpstr>Guideline Prioritization</vt:lpstr>
      <vt:lpstr>Design alignement tool</vt:lpstr>
      <vt:lpstr>DAT Report</vt:lpstr>
      <vt:lpstr>Response Options</vt:lpstr>
    </vt:vector>
  </TitlesOfParts>
  <Manager/>
  <Company>Clemson University</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Devi Soman</dc:creator>
  <cp:keywords/>
  <dc:description/>
  <cp:lastModifiedBy>Fernanda Goulart</cp:lastModifiedBy>
  <cp:revision/>
  <dcterms:created xsi:type="dcterms:W3CDTF">2026-06-15T11:33:43Z</dcterms:created>
  <dcterms:modified xsi:type="dcterms:W3CDTF">2026-07-20T19:14:13Z</dcterms:modified>
  <cp:category/>
  <cp:contentStatus/>
</cp:coreProperties>
</file>